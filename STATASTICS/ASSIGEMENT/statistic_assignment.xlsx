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priya\OneDrive\Desktop\"/>
    </mc:Choice>
  </mc:AlternateContent>
  <xr:revisionPtr revIDLastSave="0" documentId="13_ncr:1_{25C0CE8C-1FB6-41B1-BA33-7648E12C25D0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ques)1" sheetId="1" r:id="rId1"/>
    <sheet name="ques)6" sheetId="9" r:id="rId2"/>
    <sheet name="ques)7" sheetId="10" r:id="rId3"/>
    <sheet name="ques)8" sheetId="12" r:id="rId4"/>
    <sheet name="ques)10" sheetId="15" r:id="rId5"/>
    <sheet name="ques)11" sheetId="17" r:id="rId6"/>
    <sheet name="ques)12" sheetId="18" r:id="rId7"/>
    <sheet name="ques)13" sheetId="19" r:id="rId8"/>
    <sheet name="ques)14" sheetId="20" r:id="rId9"/>
    <sheet name="ques)15" sheetId="21" r:id="rId10"/>
    <sheet name="ques)16" sheetId="22" r:id="rId11"/>
    <sheet name="ques)17" sheetId="32" r:id="rId12"/>
    <sheet name="ques)18" sheetId="33" r:id="rId13"/>
    <sheet name="ques)9" sheetId="13" r:id="rId14"/>
    <sheet name="ques)19" sheetId="23" r:id="rId15"/>
    <sheet name="ques)20" sheetId="24" r:id="rId16"/>
    <sheet name="Ques)21" sheetId="25" r:id="rId17"/>
    <sheet name="QUES)22" sheetId="26" r:id="rId18"/>
    <sheet name="ques)2" sheetId="4" r:id="rId19"/>
    <sheet name="ques)4" sheetId="7" r:id="rId20"/>
    <sheet name="ques)5" sheetId="8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20" l="1"/>
  <c r="F7" i="20"/>
  <c r="F6" i="20"/>
  <c r="D6" i="19"/>
  <c r="D6" i="18"/>
  <c r="E9" i="17"/>
</calcChain>
</file>

<file path=xl/sharedStrings.xml><?xml version="1.0" encoding="utf-8"?>
<sst xmlns="http://schemas.openxmlformats.org/spreadsheetml/2006/main" count="457" uniqueCount="120">
  <si>
    <t>product_sales</t>
  </si>
  <si>
    <t>week1</t>
  </si>
  <si>
    <t>week2</t>
  </si>
  <si>
    <t>week3</t>
  </si>
  <si>
    <t>week4</t>
  </si>
  <si>
    <t>days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</si>
  <si>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</si>
  <si>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</si>
  <si>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</si>
  <si>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</si>
  <si>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</si>
  <si>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</si>
  <si>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</si>
  <si>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</si>
  <si>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</si>
  <si>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</si>
  <si>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</si>
  <si>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</si>
  <si>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</si>
  <si>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waiting time</t>
  </si>
  <si>
    <t>retail_duration  in days)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</si>
  <si>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</si>
  <si>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</si>
  <si>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</si>
  <si>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</si>
  <si>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</si>
  <si>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</si>
  <si>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</si>
  <si>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</si>
  <si>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</si>
  <si>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</si>
  <si>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units</t>
  </si>
  <si>
    <t>slaes(doller)</t>
  </si>
  <si>
    <t>mean</t>
  </si>
  <si>
    <t>median</t>
  </si>
  <si>
    <t>mode</t>
  </si>
  <si>
    <t>ques)1</t>
  </si>
  <si>
    <t>question on measure of central tendency</t>
  </si>
  <si>
    <t>ques)2</t>
  </si>
  <si>
    <t>ques)3</t>
  </si>
  <si>
    <t>Questions on measure of dispersion</t>
  </si>
  <si>
    <t>time(day)</t>
  </si>
  <si>
    <t>monthly revenue</t>
  </si>
  <si>
    <t>measure of dispersion</t>
  </si>
  <si>
    <t>measure of central tendency and</t>
  </si>
  <si>
    <t>range of  monthly revenue</t>
  </si>
  <si>
    <t>average monthly revenue</t>
  </si>
  <si>
    <t>ques)4</t>
  </si>
  <si>
    <t>rating</t>
  </si>
  <si>
    <t>average rating</t>
  </si>
  <si>
    <t>standard deviation of rating</t>
  </si>
  <si>
    <t>rating of sarvice</t>
  </si>
  <si>
    <t>analyze the customer wait times at its call center</t>
  </si>
  <si>
    <t>time(minute)</t>
  </si>
  <si>
    <t>average wait time</t>
  </si>
  <si>
    <t>range of wait time</t>
  </si>
  <si>
    <t>standard deviation of  wait time</t>
  </si>
  <si>
    <t>ques)6</t>
  </si>
  <si>
    <t>company wants to analyze the fuel efficiency of its vehicle</t>
  </si>
  <si>
    <t>MODELB</t>
  </si>
  <si>
    <t>MODELC</t>
  </si>
  <si>
    <t>MODELA</t>
  </si>
  <si>
    <t>MODELD</t>
  </si>
  <si>
    <t>MODELE</t>
  </si>
  <si>
    <t>AVERAGE</t>
  </si>
  <si>
    <t>RANGE</t>
  </si>
  <si>
    <t>FUEL EFFICIENCY</t>
  </si>
  <si>
    <t>VARIANCE</t>
  </si>
  <si>
    <t>AGE</t>
  </si>
  <si>
    <t>analyze the ages of its employees to understand the age distribution and demographics</t>
  </si>
  <si>
    <t>MODE</t>
  </si>
  <si>
    <t>MEDIAN</t>
  </si>
  <si>
    <t>analyze the purchase amounts OF customers to understand their spending habits</t>
  </si>
  <si>
    <t>purchase amount of customers</t>
  </si>
  <si>
    <t>AMOUNT(IN DOLLER)</t>
  </si>
  <si>
    <t>Bin</t>
  </si>
  <si>
    <t>More</t>
  </si>
  <si>
    <t>Frequency</t>
  </si>
  <si>
    <t>histogram</t>
  </si>
  <si>
    <t>a</t>
  </si>
  <si>
    <t>b</t>
  </si>
  <si>
    <t>c</t>
  </si>
  <si>
    <t>d</t>
  </si>
  <si>
    <t>e</t>
  </si>
  <si>
    <t>f</t>
  </si>
  <si>
    <t>g</t>
  </si>
  <si>
    <t>defect type</t>
  </si>
  <si>
    <t>fequency</t>
  </si>
  <si>
    <t>e has most defect frequency</t>
  </si>
  <si>
    <t>BAR GRAPH</t>
  </si>
  <si>
    <t>Rating</t>
  </si>
  <si>
    <t>analyze the monthly sales</t>
  </si>
  <si>
    <t>sales(indoller)</t>
  </si>
  <si>
    <t>avrage</t>
  </si>
  <si>
    <t>Time (in millisecond)</t>
  </si>
  <si>
    <t>analyze the response times of a website for different user locations.</t>
  </si>
  <si>
    <t>analyze the sales performance of its products</t>
  </si>
  <si>
    <t>Region1</t>
  </si>
  <si>
    <t>Region2</t>
  </si>
  <si>
    <t>Region3</t>
  </si>
  <si>
    <t>Average</t>
  </si>
  <si>
    <t>analyze the monthly returns of its investment portfolio</t>
  </si>
  <si>
    <t>monthly returns</t>
  </si>
  <si>
    <t>analyze the income distribution of a population</t>
  </si>
  <si>
    <t>Monthly incom(in doller)</t>
  </si>
  <si>
    <t>analyze the satisfaction ratings of customers</t>
  </si>
  <si>
    <t>House price (in doller)</t>
  </si>
  <si>
    <t>analyze the distribution of house prices in a specific city</t>
  </si>
  <si>
    <t>analyze the waiting times of customers a</t>
  </si>
  <si>
    <t>waiting time(in minutes)</t>
  </si>
  <si>
    <t>relationship between advertising expenditure and sales revenue</t>
  </si>
  <si>
    <t>Advertiising expenditure</t>
  </si>
  <si>
    <t>sales revenue</t>
  </si>
  <si>
    <t>CORELATION</t>
  </si>
  <si>
    <t xml:space="preserve"> relationship between the stock prices</t>
  </si>
  <si>
    <t>CompanyA</t>
  </si>
  <si>
    <t>CompanyB</t>
  </si>
  <si>
    <t>relationship between the hours spent studying and the exam scores</t>
  </si>
  <si>
    <t>Hours spenting studying</t>
  </si>
  <si>
    <t>exam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</si>
</sst>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color theme="5"/>
      <name val="Calibri"/>
      <family val="2"/>
      <scheme val="minor"/>
    </font>
    <font>
      <b/>
      <sz val="14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5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4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i/>
      <sz val="11"/>
      <color theme="9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i/>
      <sz val="14"/>
      <color theme="9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3" fillId="4" borderId="7" xfId="0" applyFont="1" applyFill="1" applyBorder="1" applyAlignment="1">
      <alignment horizontal="centerContinuous"/>
    </xf>
    <xf numFmtId="0" fontId="3" fillId="4" borderId="8" xfId="0" applyFont="1" applyFill="1" applyBorder="1" applyAlignment="1">
      <alignment horizontal="centerContinuous"/>
    </xf>
    <xf numFmtId="0" fontId="0" fillId="0" borderId="10" xfId="0" applyBorder="1"/>
    <xf numFmtId="0" fontId="0" fillId="0" borderId="11" xfId="0" applyBorder="1"/>
    <xf numFmtId="0" fontId="4" fillId="0" borderId="9" xfId="0" applyFont="1" applyBorder="1"/>
    <xf numFmtId="0" fontId="5" fillId="0" borderId="9" xfId="0" applyFont="1" applyBorder="1"/>
    <xf numFmtId="0" fontId="6" fillId="0" borderId="7" xfId="0" applyFont="1" applyBorder="1" applyAlignment="1">
      <alignment horizontal="centerContinuous"/>
    </xf>
    <xf numFmtId="0" fontId="6" fillId="0" borderId="8" xfId="0" applyFont="1" applyBorder="1" applyAlignment="1">
      <alignment horizontal="centerContinuous"/>
    </xf>
    <xf numFmtId="0" fontId="1" fillId="2" borderId="9" xfId="0" applyFont="1" applyFill="1" applyBorder="1"/>
    <xf numFmtId="0" fontId="3" fillId="2" borderId="7" xfId="0" applyFont="1" applyFill="1" applyBorder="1" applyAlignment="1">
      <alignment horizontal="centerContinuous"/>
    </xf>
    <xf numFmtId="0" fontId="3" fillId="2" borderId="8" xfId="0" applyFont="1" applyFill="1" applyBorder="1" applyAlignment="1">
      <alignment horizontal="centerContinuous"/>
    </xf>
    <xf numFmtId="0" fontId="1" fillId="2" borderId="12" xfId="0" applyFont="1" applyFill="1" applyBorder="1"/>
    <xf numFmtId="0" fontId="1" fillId="2" borderId="13" xfId="0" applyFont="1" applyFill="1" applyBorder="1"/>
    <xf numFmtId="0" fontId="2" fillId="2" borderId="7" xfId="0" applyFont="1" applyFill="1" applyBorder="1" applyAlignment="1">
      <alignment horizontal="centerContinuous"/>
    </xf>
    <xf numFmtId="0" fontId="2" fillId="2" borderId="8" xfId="0" applyFont="1" applyFill="1" applyBorder="1" applyAlignment="1">
      <alignment horizontal="centerContinuous"/>
    </xf>
    <xf numFmtId="0" fontId="0" fillId="3" borderId="3" xfId="0" applyFill="1" applyBorder="1"/>
    <xf numFmtId="0" fontId="0" fillId="3" borderId="4" xfId="0" applyFill="1" applyBorder="1"/>
    <xf numFmtId="0" fontId="9" fillId="0" borderId="3" xfId="0" applyFont="1" applyBorder="1"/>
    <xf numFmtId="0" fontId="9" fillId="0" borderId="4" xfId="0" applyFont="1" applyBorder="1"/>
    <xf numFmtId="0" fontId="0" fillId="0" borderId="1" xfId="0" applyBorder="1"/>
    <xf numFmtId="0" fontId="0" fillId="0" borderId="14" xfId="0" applyBorder="1"/>
    <xf numFmtId="0" fontId="0" fillId="0" borderId="2" xfId="0" applyBorder="1"/>
    <xf numFmtId="0" fontId="0" fillId="0" borderId="15" xfId="0" applyBorder="1"/>
    <xf numFmtId="0" fontId="4" fillId="0" borderId="3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1" fillId="0" borderId="1" xfId="0" applyFont="1" applyBorder="1"/>
    <xf numFmtId="0" fontId="7" fillId="0" borderId="7" xfId="0" applyFont="1" applyBorder="1" applyAlignment="1">
      <alignment horizontal="centerContinuous"/>
    </xf>
    <xf numFmtId="0" fontId="7" fillId="0" borderId="8" xfId="0" applyFont="1" applyBorder="1" applyAlignment="1">
      <alignment horizontal="centerContinuous"/>
    </xf>
    <xf numFmtId="0" fontId="1" fillId="5" borderId="9" xfId="0" applyFont="1" applyFill="1" applyBorder="1"/>
    <xf numFmtId="0" fontId="2" fillId="5" borderId="7" xfId="0" applyFont="1" applyFill="1" applyBorder="1" applyAlignment="1">
      <alignment horizontal="centerContinuous"/>
    </xf>
    <xf numFmtId="0" fontId="2" fillId="5" borderId="8" xfId="0" applyFont="1" applyFill="1" applyBorder="1" applyAlignment="1">
      <alignment horizontal="centerContinuous"/>
    </xf>
    <xf numFmtId="0" fontId="12" fillId="0" borderId="9" xfId="0" applyFont="1" applyBorder="1"/>
    <xf numFmtId="0" fontId="13" fillId="0" borderId="7" xfId="0" applyFont="1" applyBorder="1" applyAlignment="1">
      <alignment horizontal="centerContinuous"/>
    </xf>
    <xf numFmtId="0" fontId="13" fillId="0" borderId="8" xfId="0" applyFont="1" applyBorder="1" applyAlignment="1">
      <alignment horizontal="centerContinuous"/>
    </xf>
    <xf numFmtId="0" fontId="14" fillId="0" borderId="0" xfId="0" applyFont="1"/>
    <xf numFmtId="0" fontId="10" fillId="0" borderId="0" xfId="0" applyFont="1"/>
    <xf numFmtId="0" fontId="16" fillId="0" borderId="0" xfId="0" applyFont="1"/>
    <xf numFmtId="0" fontId="4" fillId="0" borderId="14" xfId="0" applyFont="1" applyBorder="1"/>
    <xf numFmtId="0" fontId="4" fillId="0" borderId="15" xfId="0" applyFont="1" applyBorder="1"/>
    <xf numFmtId="0" fontId="12" fillId="0" borderId="3" xfId="0" applyFont="1" applyBorder="1"/>
    <xf numFmtId="0" fontId="12" fillId="0" borderId="4" xfId="0" applyFont="1" applyBorder="1"/>
    <xf numFmtId="0" fontId="12" fillId="0" borderId="1" xfId="0" applyFont="1" applyBorder="1"/>
    <xf numFmtId="0" fontId="12" fillId="0" borderId="2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14" xfId="0" applyFont="1" applyBorder="1"/>
    <xf numFmtId="0" fontId="12" fillId="0" borderId="0" xfId="0" applyFont="1"/>
    <xf numFmtId="0" fontId="12" fillId="0" borderId="15" xfId="0" applyFont="1" applyBorder="1"/>
    <xf numFmtId="0" fontId="17" fillId="4" borderId="12" xfId="0" applyFont="1" applyFill="1" applyBorder="1"/>
    <xf numFmtId="0" fontId="17" fillId="4" borderId="16" xfId="0" applyFont="1" applyFill="1" applyBorder="1"/>
    <xf numFmtId="0" fontId="17" fillId="4" borderId="13" xfId="0" applyFont="1" applyFill="1" applyBorder="1"/>
    <xf numFmtId="0" fontId="18" fillId="3" borderId="10" xfId="0" applyFont="1" applyFill="1" applyBorder="1"/>
    <xf numFmtId="0" fontId="18" fillId="3" borderId="11" xfId="0" applyFont="1" applyFill="1" applyBorder="1"/>
    <xf numFmtId="0" fontId="1" fillId="0" borderId="13" xfId="0" applyFont="1" applyBorder="1"/>
    <xf numFmtId="0" fontId="19" fillId="3" borderId="17" xfId="0" applyFont="1" applyFill="1" applyBorder="1"/>
    <xf numFmtId="0" fontId="19" fillId="0" borderId="13" xfId="0" applyFont="1" applyBorder="1"/>
    <xf numFmtId="0" fontId="19" fillId="0" borderId="17" xfId="0" applyFont="1" applyBorder="1"/>
    <xf numFmtId="0" fontId="20" fillId="0" borderId="3" xfId="0" applyFont="1" applyBorder="1"/>
    <xf numFmtId="0" fontId="20" fillId="0" borderId="4" xfId="0" applyFont="1" applyBorder="1"/>
    <xf numFmtId="0" fontId="20" fillId="0" borderId="0" xfId="0" applyFont="1"/>
    <xf numFmtId="0" fontId="21" fillId="0" borderId="7" xfId="0" applyFont="1" applyBorder="1" applyAlignment="1">
      <alignment horizontal="center"/>
    </xf>
    <xf numFmtId="0" fontId="21" fillId="0" borderId="8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22" fillId="0" borderId="15" xfId="0" applyFont="1" applyBorder="1"/>
    <xf numFmtId="0" fontId="23" fillId="0" borderId="15" xfId="0" applyFont="1" applyBorder="1"/>
    <xf numFmtId="0" fontId="1" fillId="6" borderId="17" xfId="0" applyFont="1" applyFill="1" applyBorder="1"/>
    <xf numFmtId="0" fontId="24" fillId="0" borderId="12" xfId="0" applyFont="1" applyBorder="1" applyAlignment="1">
      <alignment horizontal="centerContinuous"/>
    </xf>
    <xf numFmtId="0" fontId="24" fillId="0" borderId="13" xfId="0" applyFont="1" applyBorder="1" applyAlignment="1">
      <alignment horizontal="centerContinuous"/>
    </xf>
    <xf numFmtId="0" fontId="25" fillId="0" borderId="3" xfId="0" applyFont="1" applyBorder="1"/>
    <xf numFmtId="0" fontId="25" fillId="0" borderId="5" xfId="0" applyFont="1" applyBorder="1"/>
    <xf numFmtId="0" fontId="25" fillId="0" borderId="12" xfId="0" applyFont="1" applyBorder="1"/>
    <xf numFmtId="0" fontId="25" fillId="0" borderId="4" xfId="0" applyFont="1" applyBorder="1"/>
    <xf numFmtId="0" fontId="25" fillId="0" borderId="17" xfId="0" applyFont="1" applyBorder="1"/>
    <xf numFmtId="0" fontId="25" fillId="7" borderId="3" xfId="0" applyFont="1" applyFill="1" applyBorder="1"/>
    <xf numFmtId="0" fontId="25" fillId="7" borderId="5" xfId="0" applyFont="1" applyFill="1" applyBorder="1"/>
    <xf numFmtId="0" fontId="25" fillId="7" borderId="12" xfId="0" applyFont="1" applyFill="1" applyBorder="1"/>
    <xf numFmtId="0" fontId="25" fillId="0" borderId="13" xfId="0" applyFont="1" applyBorder="1"/>
    <xf numFmtId="0" fontId="24" fillId="0" borderId="7" xfId="0" applyFont="1" applyBorder="1" applyAlignment="1">
      <alignment horizontal="centerContinuous"/>
    </xf>
    <xf numFmtId="0" fontId="24" fillId="0" borderId="8" xfId="0" applyFont="1" applyBorder="1" applyAlignment="1">
      <alignment horizontal="centerContinuous"/>
    </xf>
    <xf numFmtId="0" fontId="2" fillId="0" borderId="18" xfId="0" applyFont="1" applyBorder="1" applyAlignment="1">
      <alignment horizontal="center"/>
    </xf>
    <xf numFmtId="0" fontId="5" fillId="0" borderId="17" xfId="0" applyFont="1" applyBorder="1"/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1" fillId="0" borderId="3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5" fillId="0" borderId="11" xfId="0" applyFont="1" applyBorder="1"/>
    <xf numFmtId="0" fontId="5" fillId="0" borderId="2" xfId="0" applyFont="1" applyBorder="1"/>
    <xf numFmtId="0" fontId="1" fillId="0" borderId="6" xfId="0" applyFont="1" applyBorder="1"/>
    <xf numFmtId="0" fontId="5" fillId="0" borderId="12" xfId="0" applyFont="1" applyBorder="1"/>
    <xf numFmtId="0" fontId="5" fillId="0" borderId="16" xfId="0" applyFont="1" applyBorder="1"/>
    <xf numFmtId="0" fontId="5" fillId="0" borderId="13" xfId="0" applyFont="1" applyBorder="1"/>
    <xf numFmtId="0" fontId="1" fillId="0" borderId="5" xfId="0" applyFont="1" applyBorder="1"/>
    <xf numFmtId="0" fontId="27" fillId="0" borderId="1" xfId="0" applyFont="1" applyBorder="1"/>
    <xf numFmtId="0" fontId="27" fillId="0" borderId="2" xfId="0" applyFont="1" applyBorder="1"/>
    <xf numFmtId="0" fontId="28" fillId="0" borderId="17" xfId="0" applyFont="1" applyBorder="1"/>
    <xf numFmtId="0" fontId="29" fillId="0" borderId="12" xfId="0" applyFont="1" applyBorder="1" applyAlignment="1">
      <alignment horizontal="centerContinuous"/>
    </xf>
    <xf numFmtId="0" fontId="29" fillId="0" borderId="13" xfId="0" applyFont="1" applyBorder="1" applyAlignment="1">
      <alignment horizontal="centerContinuous"/>
    </xf>
    <xf numFmtId="0" fontId="4" fillId="0" borderId="0" xfId="0" applyFont="1"/>
    <xf numFmtId="0" fontId="7" fillId="0" borderId="12" xfId="0" applyFont="1" applyBorder="1" applyAlignment="1">
      <alignment horizontal="centerContinuous"/>
    </xf>
    <xf numFmtId="0" fontId="7" fillId="0" borderId="13" xfId="0" applyFont="1" applyBorder="1" applyAlignment="1">
      <alignment horizontal="centerContinuous"/>
    </xf>
    <xf numFmtId="0" fontId="15" fillId="0" borderId="0" xfId="0" applyFont="1"/>
    <xf numFmtId="0" fontId="15" fillId="0" borderId="12" xfId="0" applyFont="1" applyBorder="1"/>
    <xf numFmtId="0" fontId="15" fillId="0" borderId="16" xfId="0" applyFont="1" applyBorder="1"/>
    <xf numFmtId="0" fontId="15" fillId="0" borderId="13" xfId="0" applyFont="1" applyBorder="1"/>
    <xf numFmtId="0" fontId="25" fillId="0" borderId="0" xfId="0" applyFont="1"/>
    <xf numFmtId="0" fontId="7" fillId="0" borderId="1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27" fillId="0" borderId="3" xfId="0" applyFont="1" applyBorder="1"/>
    <xf numFmtId="0" fontId="27" fillId="0" borderId="5" xfId="0" applyFont="1" applyBorder="1"/>
    <xf numFmtId="0" fontId="30" fillId="0" borderId="7" xfId="0" applyFont="1" applyBorder="1" applyAlignment="1">
      <alignment horizontal="center"/>
    </xf>
    <xf numFmtId="0" fontId="0" fillId="0" borderId="17" xfId="0" applyBorder="1"/>
    <xf numFmtId="0" fontId="7" fillId="0" borderId="16" xfId="0" applyFont="1" applyBorder="1" applyAlignment="1">
      <alignment horizontal="center"/>
    </xf>
    <xf numFmtId="0" fontId="30" fillId="0" borderId="1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2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'ques)10'!$B$2</c:f>
              <c:strCache>
                <c:ptCount val="1"/>
                <c:pt idx="0">
                  <c:v>fequency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'ques)10'!$A$3:$A$9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</c:strCache>
            </c:strRef>
          </c:cat>
          <c:val>
            <c:numRef>
              <c:f>'ques)10'!$B$3:$B$9</c:f>
              <c:numCache>
                <c:formatCode>General</c:formatCode>
                <c:ptCount val="7"/>
                <c:pt idx="0">
                  <c:v>30</c:v>
                </c:pt>
                <c:pt idx="1">
                  <c:v>40</c:v>
                </c:pt>
                <c:pt idx="2">
                  <c:v>20</c:v>
                </c:pt>
                <c:pt idx="3">
                  <c:v>10</c:v>
                </c:pt>
                <c:pt idx="4">
                  <c:v>45</c:v>
                </c:pt>
                <c:pt idx="5">
                  <c:v>25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E-4978-9120-27D2D1F662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240192"/>
        <c:axId val="900235200"/>
      </c:barChart>
      <c:catAx>
        <c:axId val="90024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35200"/>
        <c:crosses val="autoZero"/>
        <c:auto val="1"/>
        <c:lblAlgn val="ctr"/>
        <c:lblOffset val="100"/>
        <c:noMultiLvlLbl val="0"/>
      </c:catAx>
      <c:valAx>
        <c:axId val="9002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024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'ques)11'!$A$5:$A$6</c:f>
              <c:strCache>
                <c:ptCount val="2"/>
                <c:pt idx="0">
                  <c:v>Rating</c:v>
                </c:pt>
                <c:pt idx="1">
                  <c:v>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'ques)11'!$A$7:$A$106</c:f>
              <c:numCache>
                <c:formatCode>General</c:formatCode>
                <c:ptCount val="100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5</c:v>
                </c:pt>
                <c:pt idx="10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3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4</c:v>
                </c:pt>
                <c:pt idx="23">
                  <c:v>5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4</c:v>
                </c:pt>
                <c:pt idx="31">
                  <c:v>5</c:v>
                </c:pt>
                <c:pt idx="32">
                  <c:v>2</c:v>
                </c:pt>
                <c:pt idx="33">
                  <c:v>3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5</c:v>
                </c:pt>
                <c:pt idx="42">
                  <c:v>4</c:v>
                </c:pt>
                <c:pt idx="43">
                  <c:v>2</c:v>
                </c:pt>
                <c:pt idx="44">
                  <c:v>3</c:v>
                </c:pt>
                <c:pt idx="45">
                  <c:v>4</c:v>
                </c:pt>
                <c:pt idx="46">
                  <c:v>5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4</c:v>
                </c:pt>
                <c:pt idx="51">
                  <c:v>5</c:v>
                </c:pt>
                <c:pt idx="52">
                  <c:v>2</c:v>
                </c:pt>
                <c:pt idx="53">
                  <c:v>3</c:v>
                </c:pt>
                <c:pt idx="54">
                  <c:v>4</c:v>
                </c:pt>
                <c:pt idx="55">
                  <c:v>4</c:v>
                </c:pt>
                <c:pt idx="56">
                  <c:v>3</c:v>
                </c:pt>
                <c:pt idx="57">
                  <c:v>5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4</c:v>
                </c:pt>
                <c:pt idx="63">
                  <c:v>3</c:v>
                </c:pt>
                <c:pt idx="64">
                  <c:v>4</c:v>
                </c:pt>
                <c:pt idx="65">
                  <c:v>5</c:v>
                </c:pt>
                <c:pt idx="66">
                  <c:v>2</c:v>
                </c:pt>
                <c:pt idx="67">
                  <c:v>4</c:v>
                </c:pt>
                <c:pt idx="68">
                  <c:v>5</c:v>
                </c:pt>
                <c:pt idx="69">
                  <c:v>4</c:v>
                </c:pt>
                <c:pt idx="70">
                  <c:v>3</c:v>
                </c:pt>
                <c:pt idx="71">
                  <c:v>4</c:v>
                </c:pt>
                <c:pt idx="72">
                  <c:v>5</c:v>
                </c:pt>
                <c:pt idx="73">
                  <c:v>3</c:v>
                </c:pt>
                <c:pt idx="74">
                  <c:v>4</c:v>
                </c:pt>
                <c:pt idx="75">
                  <c:v>5</c:v>
                </c:pt>
                <c:pt idx="76">
                  <c:v>4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5</c:v>
                </c:pt>
                <c:pt idx="81">
                  <c:v>2</c:v>
                </c:pt>
                <c:pt idx="82">
                  <c:v>3</c:v>
                </c:pt>
                <c:pt idx="83">
                  <c:v>4</c:v>
                </c:pt>
                <c:pt idx="84">
                  <c:v>4</c:v>
                </c:pt>
                <c:pt idx="85">
                  <c:v>3</c:v>
                </c:pt>
                <c:pt idx="86">
                  <c:v>5</c:v>
                </c:pt>
                <c:pt idx="87">
                  <c:v>4</c:v>
                </c:pt>
                <c:pt idx="88">
                  <c:v>3</c:v>
                </c:pt>
                <c:pt idx="89">
                  <c:v>4</c:v>
                </c:pt>
                <c:pt idx="90">
                  <c:v>3</c:v>
                </c:pt>
                <c:pt idx="91">
                  <c:v>4</c:v>
                </c:pt>
                <c:pt idx="92">
                  <c:v>2</c:v>
                </c:pt>
                <c:pt idx="93">
                  <c:v>3</c:v>
                </c:pt>
                <c:pt idx="94">
                  <c:v>4</c:v>
                </c:pt>
                <c:pt idx="95">
                  <c:v>5</c:v>
                </c:pt>
                <c:pt idx="96">
                  <c:v>3</c:v>
                </c:pt>
                <c:pt idx="97">
                  <c:v>4</c:v>
                </c:pt>
                <c:pt idx="98">
                  <c:v>5</c:v>
                </c:pt>
                <c:pt idx="9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4-4046-9266-885678AF2BC6}"/>
            </c:ext>
          </c:extLst>
        </c:ser>
        <c:ser>
          <c:idx val="1"/>
          <c:order val="1"/>
          <c:tx>
            <c:strRef>
              <c:f>'ques)11'!$B$5:$B$6</c:f>
              <c:strCache>
                <c:ptCount val="2"/>
                <c:pt idx="0">
                  <c:v>Rating</c:v>
                </c:pt>
                <c:pt idx="1">
                  <c:v>Bin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'ques)11'!$B$7:$B$106</c:f>
              <c:numCache>
                <c:formatCode>General</c:formatCode>
                <c:ptCount val="100"/>
                <c:pt idx="0">
                  <c:v>2</c:v>
                </c:pt>
                <c:pt idx="1">
                  <c:v>2.2999999999999998</c:v>
                </c:pt>
                <c:pt idx="2">
                  <c:v>2.6</c:v>
                </c:pt>
                <c:pt idx="3">
                  <c:v>2.9</c:v>
                </c:pt>
                <c:pt idx="4">
                  <c:v>3.2</c:v>
                </c:pt>
                <c:pt idx="5">
                  <c:v>3.5</c:v>
                </c:pt>
                <c:pt idx="6">
                  <c:v>3.8</c:v>
                </c:pt>
                <c:pt idx="7">
                  <c:v>4.0999999999999996</c:v>
                </c:pt>
                <c:pt idx="8">
                  <c:v>4.4000000000000004</c:v>
                </c:pt>
                <c:pt idx="9">
                  <c:v>4.6999999999999993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94-4046-9266-885678AF2BC6}"/>
            </c:ext>
          </c:extLst>
        </c:ser>
        <c:ser>
          <c:idx val="2"/>
          <c:order val="2"/>
          <c:tx>
            <c:strRef>
              <c:f>'ques)11'!$C$5:$C$6</c:f>
              <c:strCache>
                <c:ptCount val="2"/>
                <c:pt idx="0">
                  <c:v>Rating</c:v>
                </c:pt>
                <c:pt idx="1">
                  <c:v>Frequency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'ques)11'!$C$7:$C$106</c:f>
              <c:numCache>
                <c:formatCode>General</c:formatCode>
                <c:ptCount val="10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94-4046-9266-885678AF2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8246496"/>
        <c:axId val="948247328"/>
      </c:barChart>
      <c:catAx>
        <c:axId val="948246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47328"/>
        <c:crosses val="autoZero"/>
        <c:auto val="1"/>
        <c:lblAlgn val="ctr"/>
        <c:lblOffset val="100"/>
        <c:noMultiLvlLbl val="0"/>
      </c:catAx>
      <c:valAx>
        <c:axId val="94824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46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'ques)11'!$C$6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'ques)11'!$B$7:$B$17</c:f>
              <c:strCache>
                <c:ptCount val="11"/>
                <c:pt idx="0">
                  <c:v>2</c:v>
                </c:pt>
                <c:pt idx="1">
                  <c:v>2.3</c:v>
                </c:pt>
                <c:pt idx="2">
                  <c:v>2.6</c:v>
                </c:pt>
                <c:pt idx="3">
                  <c:v>2.9</c:v>
                </c:pt>
                <c:pt idx="4">
                  <c:v>3.2</c:v>
                </c:pt>
                <c:pt idx="5">
                  <c:v>3.5</c:v>
                </c:pt>
                <c:pt idx="6">
                  <c:v>3.8</c:v>
                </c:pt>
                <c:pt idx="7">
                  <c:v>4.1</c:v>
                </c:pt>
                <c:pt idx="8">
                  <c:v>4.4</c:v>
                </c:pt>
                <c:pt idx="9">
                  <c:v>4.7</c:v>
                </c:pt>
                <c:pt idx="10">
                  <c:v>More</c:v>
                </c:pt>
              </c:strCache>
            </c:strRef>
          </c:cat>
          <c:val>
            <c:numRef>
              <c:f>'ques)11'!$C$7:$C$17</c:f>
              <c:numCache>
                <c:formatCode>General</c:formatCode>
                <c:ptCount val="11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</c:v>
                </c:pt>
                <c:pt idx="5">
                  <c:v>0</c:v>
                </c:pt>
                <c:pt idx="6">
                  <c:v>0</c:v>
                </c:pt>
                <c:pt idx="7">
                  <c:v>39</c:v>
                </c:pt>
                <c:pt idx="8">
                  <c:v>0</c:v>
                </c:pt>
                <c:pt idx="9">
                  <c:v>0</c:v>
                </c:pt>
                <c:pt idx="1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4A-4B1A-8C5E-FC6163F7E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315424"/>
        <c:axId val="990327904"/>
      </c:barChart>
      <c:catAx>
        <c:axId val="9903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27904"/>
        <c:crosses val="autoZero"/>
        <c:auto val="1"/>
        <c:lblAlgn val="ctr"/>
        <c:lblOffset val="100"/>
        <c:noMultiLvlLbl val="0"/>
      </c:catAx>
      <c:valAx>
        <c:axId val="9903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'ques)12'!$C$5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'ques)12'!$B$6:$B$13</c:f>
              <c:strCache>
                <c:ptCount val="8"/>
                <c:pt idx="0">
                  <c:v>28</c:v>
                </c:pt>
                <c:pt idx="1">
                  <c:v>30.71428571</c:v>
                </c:pt>
                <c:pt idx="2">
                  <c:v>33.42857143</c:v>
                </c:pt>
                <c:pt idx="3">
                  <c:v>36.14285714</c:v>
                </c:pt>
                <c:pt idx="4">
                  <c:v>38.85714286</c:v>
                </c:pt>
                <c:pt idx="5">
                  <c:v>41.57142857</c:v>
                </c:pt>
                <c:pt idx="6">
                  <c:v>44.28571429</c:v>
                </c:pt>
                <c:pt idx="7">
                  <c:v>More</c:v>
                </c:pt>
              </c:strCache>
            </c:strRef>
          </c:cat>
          <c:val>
            <c:numRef>
              <c:f>'ques)12'!$C$6:$C$13</c:f>
              <c:numCache>
                <c:formatCode>General</c:formatCode>
                <c:ptCount val="8"/>
                <c:pt idx="0">
                  <c:v>4</c:v>
                </c:pt>
                <c:pt idx="1">
                  <c:v>6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4-4871-9EB2-3C9F4B7C3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319584"/>
        <c:axId val="990322496"/>
      </c:barChart>
      <c:catAx>
        <c:axId val="99031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22496"/>
        <c:crosses val="autoZero"/>
        <c:auto val="1"/>
        <c:lblAlgn val="ctr"/>
        <c:lblOffset val="100"/>
        <c:noMultiLvlLbl val="0"/>
      </c:catAx>
      <c:valAx>
        <c:axId val="9903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1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'ques)13'!$C$5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'ques)13'!$B$6:$B$14</c:f>
              <c:strCache>
                <c:ptCount val="9"/>
                <c:pt idx="0">
                  <c:v>118</c:v>
                </c:pt>
                <c:pt idx="1">
                  <c:v>121.75</c:v>
                </c:pt>
                <c:pt idx="2">
                  <c:v>125.5</c:v>
                </c:pt>
                <c:pt idx="3">
                  <c:v>129.25</c:v>
                </c:pt>
                <c:pt idx="4">
                  <c:v>133</c:v>
                </c:pt>
                <c:pt idx="5">
                  <c:v>136.75</c:v>
                </c:pt>
                <c:pt idx="6">
                  <c:v>140.5</c:v>
                </c:pt>
                <c:pt idx="7">
                  <c:v>144.25</c:v>
                </c:pt>
                <c:pt idx="8">
                  <c:v>More</c:v>
                </c:pt>
              </c:strCache>
            </c:strRef>
          </c:cat>
          <c:val>
            <c:numRef>
              <c:f>'ques)13'!$C$6:$C$14</c:f>
              <c:numCache>
                <c:formatCode>General</c:formatCode>
                <c:ptCount val="9"/>
                <c:pt idx="0">
                  <c:v>1</c:v>
                </c:pt>
                <c:pt idx="1">
                  <c:v>4</c:v>
                </c:pt>
                <c:pt idx="2">
                  <c:v>16</c:v>
                </c:pt>
                <c:pt idx="3">
                  <c:v>12</c:v>
                </c:pt>
                <c:pt idx="4">
                  <c:v>22</c:v>
                </c:pt>
                <c:pt idx="5">
                  <c:v>14</c:v>
                </c:pt>
                <c:pt idx="6">
                  <c:v>5</c:v>
                </c:pt>
                <c:pt idx="7">
                  <c:v>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AA-4291-800E-31B0B7E88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316672"/>
        <c:axId val="990324992"/>
      </c:barChart>
      <c:catAx>
        <c:axId val="99031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24992"/>
        <c:crosses val="autoZero"/>
        <c:auto val="1"/>
        <c:lblAlgn val="ctr"/>
        <c:lblOffset val="100"/>
        <c:noMultiLvlLbl val="0"/>
      </c:catAx>
      <c:valAx>
        <c:axId val="99032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316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'ques)14'!$A$5</c:f>
              <c:strCache>
                <c:ptCount val="1"/>
                <c:pt idx="0">
                  <c:v>Region1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'ques)14'!$A$6:$A$15</c:f>
              <c:numCache>
                <c:formatCode>General</c:formatCode>
                <c:ptCount val="10"/>
                <c:pt idx="0">
                  <c:v>45</c:v>
                </c:pt>
                <c:pt idx="1">
                  <c:v>35</c:v>
                </c:pt>
                <c:pt idx="2">
                  <c:v>40</c:v>
                </c:pt>
                <c:pt idx="3">
                  <c:v>38</c:v>
                </c:pt>
                <c:pt idx="4">
                  <c:v>42</c:v>
                </c:pt>
                <c:pt idx="5">
                  <c:v>37</c:v>
                </c:pt>
                <c:pt idx="6">
                  <c:v>39</c:v>
                </c:pt>
                <c:pt idx="7">
                  <c:v>43</c:v>
                </c:pt>
                <c:pt idx="8">
                  <c:v>44</c:v>
                </c:pt>
                <c:pt idx="9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B-4C55-A0A1-C85D30141899}"/>
            </c:ext>
          </c:extLst>
        </c:ser>
        <c:ser>
          <c:idx val="1"/>
          <c:order val="1"/>
          <c:tx>
            <c:strRef>
              <c:f>'ques)14'!$B$5</c:f>
              <c:strCache>
                <c:ptCount val="1"/>
                <c:pt idx="0">
                  <c:v>Region2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'ques)14'!$B$6:$B$15</c:f>
              <c:numCache>
                <c:formatCode>General</c:formatCode>
                <c:ptCount val="10"/>
                <c:pt idx="0">
                  <c:v>32</c:v>
                </c:pt>
                <c:pt idx="1">
                  <c:v>28</c:v>
                </c:pt>
                <c:pt idx="2">
                  <c:v>38</c:v>
                </c:pt>
                <c:pt idx="3">
                  <c:v>34</c:v>
                </c:pt>
                <c:pt idx="4">
                  <c:v>33</c:v>
                </c:pt>
                <c:pt idx="5">
                  <c:v>35</c:v>
                </c:pt>
                <c:pt idx="6">
                  <c:v>31</c:v>
                </c:pt>
                <c:pt idx="7">
                  <c:v>29</c:v>
                </c:pt>
                <c:pt idx="8">
                  <c:v>36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B-4C55-A0A1-C85D30141899}"/>
            </c:ext>
          </c:extLst>
        </c:ser>
        <c:ser>
          <c:idx val="2"/>
          <c:order val="2"/>
          <c:tx>
            <c:strRef>
              <c:f>'ques)14'!$C$5</c:f>
              <c:strCache>
                <c:ptCount val="1"/>
                <c:pt idx="0">
                  <c:v>Region3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'ques)14'!$C$6:$C$15</c:f>
              <c:numCache>
                <c:formatCode>General</c:formatCode>
                <c:ptCount val="10"/>
                <c:pt idx="0">
                  <c:v>40</c:v>
                </c:pt>
                <c:pt idx="1">
                  <c:v>39</c:v>
                </c:pt>
                <c:pt idx="2">
                  <c:v>42</c:v>
                </c:pt>
                <c:pt idx="3">
                  <c:v>41</c:v>
                </c:pt>
                <c:pt idx="4">
                  <c:v>38</c:v>
                </c:pt>
                <c:pt idx="5">
                  <c:v>43</c:v>
                </c:pt>
                <c:pt idx="6">
                  <c:v>45</c:v>
                </c:pt>
                <c:pt idx="7">
                  <c:v>44</c:v>
                </c:pt>
                <c:pt idx="8">
                  <c:v>41</c:v>
                </c:pt>
                <c:pt idx="9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9B-4C55-A0A1-C85D30141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245664"/>
        <c:axId val="948250656"/>
      </c:barChart>
      <c:catAx>
        <c:axId val="948245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50656"/>
        <c:crosses val="autoZero"/>
        <c:auto val="1"/>
        <c:lblAlgn val="ctr"/>
        <c:lblOffset val="100"/>
        <c:noMultiLvlLbl val="0"/>
      </c:catAx>
      <c:valAx>
        <c:axId val="94825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824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8</xdr:row>
      <xdr:rowOff>152400</xdr:rowOff>
    </xdr:from>
    <xdr:to>
      <xdr:col>15</xdr:col>
      <xdr:colOff>266700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</xdr:colOff>
      <xdr:row>8</xdr:row>
      <xdr:rowOff>137160</xdr:rowOff>
    </xdr:from>
    <xdr:to>
      <xdr:col>15</xdr:col>
      <xdr:colOff>358140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8</xdr:row>
      <xdr:rowOff>121920</xdr:rowOff>
    </xdr:from>
    <xdr:to>
      <xdr:col>15</xdr:col>
      <xdr:colOff>358140</xdr:colOff>
      <xdr:row>23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434340</xdr:colOff>
      <xdr:row>8</xdr:row>
      <xdr:rowOff>99060</xdr:rowOff>
    </xdr:from>
    <xdr:to>
      <xdr:col>15</xdr:col>
      <xdr:colOff>129540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8</xdr:row>
      <xdr:rowOff>99060</xdr:rowOff>
    </xdr:from>
    <xdr:to>
      <xdr:col>14</xdr:col>
      <xdr:colOff>358140</xdr:colOff>
      <xdr:row>23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556260</xdr:colOff>
      <xdr:row>3</xdr:row>
      <xdr:rowOff>7620</xdr:rowOff>
    </xdr:from>
    <xdr:to>
      <xdr:col>19</xdr:col>
      <xdr:colOff>251460</xdr:colOff>
      <xdr:row>18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workbookViewId="0">
      <selection activeCell="D27" sqref="D27"/>
    </sheetView>
  </sheetViews>
  <sheetFormatPr defaultRowHeight="14.4" x14ac:dyDescent="0.3"/>
  <cols>
    <col min="2" max="2" width="12.33203125" bestFit="1" customWidth="1"/>
    <col min="4" max="4" width="16.5546875" bestFit="1" customWidth="1"/>
    <col min="7" max="7" width="11.33203125" bestFit="1" customWidth="1"/>
    <col min="9" max="9" width="16.5546875" bestFit="1" customWidth="1"/>
    <col min="12" max="12" width="21.109375" bestFit="1" customWidth="1"/>
    <col min="14" max="14" width="16.5546875" bestFit="1" customWidth="1"/>
  </cols>
  <sheetData>
    <row r="1" spans="1:15" x14ac:dyDescent="0.3">
      <c r="A1" s="26"/>
      <c r="B1" s="27"/>
      <c r="C1" s="27"/>
      <c r="D1" s="27"/>
      <c r="E1" s="28"/>
    </row>
    <row r="2" spans="1:15" x14ac:dyDescent="0.3">
      <c r="E2" s="130" t="s">
        <v>37</v>
      </c>
      <c r="F2" s="131"/>
      <c r="G2" s="131"/>
      <c r="H2" s="131"/>
      <c r="I2" s="131"/>
      <c r="J2" s="131"/>
    </row>
    <row r="3" spans="1:15" x14ac:dyDescent="0.3">
      <c r="E3" s="131"/>
      <c r="F3" s="131"/>
      <c r="G3" s="131"/>
      <c r="H3" s="131"/>
      <c r="I3" s="131"/>
      <c r="J3" s="131"/>
    </row>
    <row r="7" spans="1:15" ht="15" thickBot="1" x14ac:dyDescent="0.35"/>
    <row r="8" spans="1:15" ht="15" thickBot="1" x14ac:dyDescent="0.35">
      <c r="G8" s="36" t="s">
        <v>38</v>
      </c>
      <c r="H8" s="27"/>
      <c r="I8" s="27"/>
      <c r="J8" s="28"/>
      <c r="L8" s="36" t="s">
        <v>39</v>
      </c>
      <c r="M8" s="27"/>
      <c r="N8" s="27"/>
      <c r="O8" s="28"/>
    </row>
    <row r="9" spans="1:15" ht="15" thickBot="1" x14ac:dyDescent="0.35">
      <c r="A9" s="36" t="s">
        <v>36</v>
      </c>
      <c r="B9" s="27"/>
      <c r="C9" s="27"/>
      <c r="D9" s="27"/>
      <c r="E9" s="28"/>
      <c r="G9" s="11" t="s">
        <v>19</v>
      </c>
      <c r="J9" s="2"/>
      <c r="L9" s="15" t="s">
        <v>20</v>
      </c>
      <c r="O9" s="2"/>
    </row>
    <row r="10" spans="1:15" ht="15" thickBot="1" x14ac:dyDescent="0.35">
      <c r="A10" s="1"/>
      <c r="E10" s="2"/>
      <c r="G10" s="9">
        <v>15</v>
      </c>
      <c r="I10" s="13" t="s">
        <v>19</v>
      </c>
      <c r="J10" s="14"/>
      <c r="L10" s="9">
        <v>3</v>
      </c>
      <c r="N10" s="16" t="s">
        <v>20</v>
      </c>
      <c r="O10" s="17"/>
    </row>
    <row r="11" spans="1:15" x14ac:dyDescent="0.3">
      <c r="A11" s="5" t="s">
        <v>5</v>
      </c>
      <c r="B11" s="6" t="s">
        <v>0</v>
      </c>
      <c r="D11" s="7" t="s">
        <v>0</v>
      </c>
      <c r="E11" s="8"/>
      <c r="G11" s="9">
        <v>10</v>
      </c>
      <c r="I11" s="1"/>
      <c r="J11" s="2"/>
      <c r="L11" s="9">
        <v>2</v>
      </c>
      <c r="N11" s="1"/>
      <c r="O11" s="2"/>
    </row>
    <row r="12" spans="1:15" x14ac:dyDescent="0.3">
      <c r="A12" s="1" t="s">
        <v>1</v>
      </c>
      <c r="B12" s="2">
        <v>50</v>
      </c>
      <c r="D12" s="1"/>
      <c r="E12" s="2"/>
      <c r="G12" s="9">
        <v>20</v>
      </c>
      <c r="I12" s="30" t="s">
        <v>6</v>
      </c>
      <c r="J12" s="33">
        <v>17</v>
      </c>
      <c r="L12" s="9">
        <v>5</v>
      </c>
      <c r="N12" s="30" t="s">
        <v>6</v>
      </c>
      <c r="O12" s="33">
        <v>3.4583333333333335</v>
      </c>
    </row>
    <row r="13" spans="1:15" x14ac:dyDescent="0.3">
      <c r="A13" s="1" t="s">
        <v>2</v>
      </c>
      <c r="B13" s="2">
        <v>60</v>
      </c>
      <c r="D13" s="22" t="s">
        <v>6</v>
      </c>
      <c r="E13" s="23">
        <v>58.75</v>
      </c>
      <c r="G13" s="9">
        <v>25</v>
      </c>
      <c r="I13" s="1" t="s">
        <v>7</v>
      </c>
      <c r="J13" s="2">
        <v>1.3764944032233706</v>
      </c>
      <c r="L13" s="9">
        <v>4</v>
      </c>
      <c r="N13" s="1" t="s">
        <v>7</v>
      </c>
      <c r="O13" s="2">
        <v>0.23246736469904372</v>
      </c>
    </row>
    <row r="14" spans="1:15" x14ac:dyDescent="0.3">
      <c r="A14" s="1" t="s">
        <v>3</v>
      </c>
      <c r="B14" s="2">
        <v>55</v>
      </c>
      <c r="D14" s="1" t="s">
        <v>7</v>
      </c>
      <c r="E14" s="2">
        <v>4.2695628191498329</v>
      </c>
      <c r="G14" s="9">
        <v>15</v>
      </c>
      <c r="I14" s="30" t="s">
        <v>8</v>
      </c>
      <c r="J14" s="33">
        <v>15</v>
      </c>
      <c r="L14" s="9">
        <v>7</v>
      </c>
      <c r="N14" s="30" t="s">
        <v>8</v>
      </c>
      <c r="O14" s="33">
        <v>3</v>
      </c>
    </row>
    <row r="15" spans="1:15" ht="15" thickBot="1" x14ac:dyDescent="0.35">
      <c r="A15" s="3" t="s">
        <v>4</v>
      </c>
      <c r="B15" s="4">
        <v>70</v>
      </c>
      <c r="D15" s="24" t="s">
        <v>8</v>
      </c>
      <c r="E15" s="25">
        <v>57.5</v>
      </c>
      <c r="G15" s="9">
        <v>10</v>
      </c>
      <c r="I15" s="30" t="s">
        <v>9</v>
      </c>
      <c r="J15" s="33">
        <v>10</v>
      </c>
      <c r="L15" s="9">
        <v>2</v>
      </c>
      <c r="N15" s="30" t="s">
        <v>9</v>
      </c>
      <c r="O15" s="33">
        <v>2</v>
      </c>
    </row>
    <row r="16" spans="1:15" x14ac:dyDescent="0.3">
      <c r="A16" s="1"/>
      <c r="D16" s="24" t="s">
        <v>9</v>
      </c>
      <c r="E16" s="25" t="e">
        <v>#N/A</v>
      </c>
      <c r="G16" s="9">
        <v>30</v>
      </c>
      <c r="I16" s="1" t="s">
        <v>10</v>
      </c>
      <c r="J16" s="2">
        <v>6.1558701125109243</v>
      </c>
      <c r="L16" s="9">
        <v>3</v>
      </c>
      <c r="N16" s="1" t="s">
        <v>10</v>
      </c>
      <c r="O16" s="2">
        <v>1.6105811470415494</v>
      </c>
    </row>
    <row r="17" spans="1:15" ht="15" thickBot="1" x14ac:dyDescent="0.35">
      <c r="A17" s="1"/>
      <c r="D17" s="1" t="s">
        <v>10</v>
      </c>
      <c r="E17" s="2">
        <v>8.5391256382996659</v>
      </c>
      <c r="G17" s="9">
        <v>20</v>
      </c>
      <c r="I17" s="1" t="s">
        <v>11</v>
      </c>
      <c r="J17" s="2">
        <v>37.89473684210526</v>
      </c>
      <c r="L17" s="9">
        <v>3</v>
      </c>
      <c r="N17" s="1" t="s">
        <v>11</v>
      </c>
      <c r="O17" s="2">
        <v>2.5939716312056729</v>
      </c>
    </row>
    <row r="18" spans="1:15" x14ac:dyDescent="0.3">
      <c r="A18" s="31" t="s">
        <v>33</v>
      </c>
      <c r="B18" s="32">
        <v>58.75</v>
      </c>
      <c r="D18" s="1" t="s">
        <v>11</v>
      </c>
      <c r="E18" s="2">
        <v>72.916666666666671</v>
      </c>
      <c r="G18" s="9">
        <v>15</v>
      </c>
      <c r="I18" s="1" t="s">
        <v>12</v>
      </c>
      <c r="J18" s="2">
        <v>-0.73518064633260538</v>
      </c>
      <c r="L18" s="9">
        <v>1</v>
      </c>
      <c r="N18" s="1" t="s">
        <v>12</v>
      </c>
      <c r="O18" s="2">
        <v>-0.60494553895186431</v>
      </c>
    </row>
    <row r="19" spans="1:15" x14ac:dyDescent="0.3">
      <c r="A19" s="30" t="s">
        <v>34</v>
      </c>
      <c r="B19" s="33">
        <v>4.2695629999999998</v>
      </c>
      <c r="D19" s="1" t="s">
        <v>12</v>
      </c>
      <c r="E19" s="2">
        <v>0.34285714285713453</v>
      </c>
      <c r="G19" s="9">
        <v>10</v>
      </c>
      <c r="I19" s="1" t="s">
        <v>13</v>
      </c>
      <c r="J19" s="2">
        <v>0.44371980427756885</v>
      </c>
      <c r="L19" s="9">
        <v>6</v>
      </c>
      <c r="N19" s="1" t="s">
        <v>13</v>
      </c>
      <c r="O19" s="2">
        <v>0.44502716085611832</v>
      </c>
    </row>
    <row r="20" spans="1:15" ht="15" thickBot="1" x14ac:dyDescent="0.35">
      <c r="A20" s="34" t="s">
        <v>35</v>
      </c>
      <c r="B20" s="35"/>
      <c r="D20" s="1" t="s">
        <v>13</v>
      </c>
      <c r="E20" s="2">
        <v>0.75283719913172531</v>
      </c>
      <c r="G20" s="9">
        <v>10</v>
      </c>
      <c r="I20" s="1" t="s">
        <v>14</v>
      </c>
      <c r="J20" s="2">
        <v>20</v>
      </c>
      <c r="L20" s="9">
        <v>4</v>
      </c>
      <c r="N20" s="1" t="s">
        <v>14</v>
      </c>
      <c r="O20" s="2">
        <v>6</v>
      </c>
    </row>
    <row r="21" spans="1:15" x14ac:dyDescent="0.3">
      <c r="A21" s="1"/>
      <c r="D21" s="1" t="s">
        <v>14</v>
      </c>
      <c r="E21" s="2">
        <v>20</v>
      </c>
      <c r="G21" s="9">
        <v>25</v>
      </c>
      <c r="I21" s="1" t="s">
        <v>15</v>
      </c>
      <c r="J21" s="2">
        <v>10</v>
      </c>
      <c r="L21" s="9">
        <v>2</v>
      </c>
      <c r="N21" s="1" t="s">
        <v>15</v>
      </c>
      <c r="O21" s="2">
        <v>1</v>
      </c>
    </row>
    <row r="22" spans="1:15" x14ac:dyDescent="0.3">
      <c r="A22" s="1"/>
      <c r="D22" s="1" t="s">
        <v>15</v>
      </c>
      <c r="E22" s="2">
        <v>50</v>
      </c>
      <c r="G22" s="9">
        <v>15</v>
      </c>
      <c r="I22" s="1" t="s">
        <v>16</v>
      </c>
      <c r="J22" s="2">
        <v>30</v>
      </c>
      <c r="L22" s="9">
        <v>3</v>
      </c>
      <c r="N22" s="1" t="s">
        <v>16</v>
      </c>
      <c r="O22" s="2">
        <v>7</v>
      </c>
    </row>
    <row r="23" spans="1:15" x14ac:dyDescent="0.3">
      <c r="A23" s="1"/>
      <c r="D23" s="1" t="s">
        <v>16</v>
      </c>
      <c r="E23" s="2">
        <v>70</v>
      </c>
      <c r="G23" s="9">
        <v>20</v>
      </c>
      <c r="I23" s="1" t="s">
        <v>17</v>
      </c>
      <c r="J23" s="2">
        <v>340</v>
      </c>
      <c r="L23" s="9">
        <v>5</v>
      </c>
      <c r="N23" s="1" t="s">
        <v>17</v>
      </c>
      <c r="O23" s="2">
        <v>166</v>
      </c>
    </row>
    <row r="24" spans="1:15" ht="15" thickBot="1" x14ac:dyDescent="0.35">
      <c r="A24" s="1"/>
      <c r="D24" s="1" t="s">
        <v>17</v>
      </c>
      <c r="E24" s="2">
        <v>235</v>
      </c>
      <c r="G24" s="9">
        <v>20</v>
      </c>
      <c r="I24" s="3" t="s">
        <v>18</v>
      </c>
      <c r="J24" s="4">
        <v>20</v>
      </c>
      <c r="L24" s="9">
        <v>2</v>
      </c>
      <c r="N24" s="3" t="s">
        <v>18</v>
      </c>
      <c r="O24" s="4">
        <v>48</v>
      </c>
    </row>
    <row r="25" spans="1:15" ht="15" thickBot="1" x14ac:dyDescent="0.35">
      <c r="A25" s="3"/>
      <c r="B25" s="29"/>
      <c r="C25" s="29"/>
      <c r="D25" s="3" t="s">
        <v>18</v>
      </c>
      <c r="E25" s="4">
        <v>4</v>
      </c>
      <c r="G25" s="9">
        <v>15</v>
      </c>
      <c r="J25" s="2"/>
      <c r="L25" s="9">
        <v>4</v>
      </c>
      <c r="O25" s="2"/>
    </row>
    <row r="26" spans="1:15" x14ac:dyDescent="0.3">
      <c r="G26" s="9">
        <v>10</v>
      </c>
      <c r="I26" s="31" t="s">
        <v>33</v>
      </c>
      <c r="J26" s="32">
        <v>17</v>
      </c>
      <c r="L26" s="9">
        <v>2</v>
      </c>
      <c r="N26" s="31" t="s">
        <v>33</v>
      </c>
      <c r="O26" s="32">
        <v>3.4583330000000001</v>
      </c>
    </row>
    <row r="27" spans="1:15" x14ac:dyDescent="0.3">
      <c r="G27" s="9">
        <v>10</v>
      </c>
      <c r="I27" s="30" t="s">
        <v>34</v>
      </c>
      <c r="J27" s="33">
        <v>15</v>
      </c>
      <c r="L27" s="9">
        <v>1</v>
      </c>
      <c r="N27" s="30" t="s">
        <v>34</v>
      </c>
      <c r="O27" s="33">
        <v>3</v>
      </c>
    </row>
    <row r="28" spans="1:15" ht="15" thickBot="1" x14ac:dyDescent="0.35">
      <c r="G28" s="9">
        <v>20</v>
      </c>
      <c r="I28" s="34" t="s">
        <v>35</v>
      </c>
      <c r="J28" s="35">
        <v>10</v>
      </c>
      <c r="L28" s="9">
        <v>3</v>
      </c>
      <c r="N28" s="34" t="s">
        <v>35</v>
      </c>
      <c r="O28" s="35">
        <v>2</v>
      </c>
    </row>
    <row r="29" spans="1:15" ht="15" thickBot="1" x14ac:dyDescent="0.35">
      <c r="G29" s="10">
        <v>25</v>
      </c>
      <c r="H29" s="29"/>
      <c r="I29" s="29"/>
      <c r="J29" s="4"/>
      <c r="L29" s="9">
        <v>5</v>
      </c>
      <c r="O29" s="2"/>
    </row>
    <row r="30" spans="1:15" x14ac:dyDescent="0.3">
      <c r="L30" s="9">
        <v>6</v>
      </c>
      <c r="O30" s="2"/>
    </row>
    <row r="31" spans="1:15" x14ac:dyDescent="0.3">
      <c r="L31" s="9">
        <v>3</v>
      </c>
      <c r="O31" s="2"/>
    </row>
    <row r="32" spans="1:15" x14ac:dyDescent="0.3">
      <c r="L32" s="9">
        <v>2</v>
      </c>
      <c r="O32" s="2"/>
    </row>
    <row r="33" spans="12:15" x14ac:dyDescent="0.3">
      <c r="L33" s="9">
        <v>1</v>
      </c>
      <c r="O33" s="2"/>
    </row>
    <row r="34" spans="12:15" x14ac:dyDescent="0.3">
      <c r="L34" s="9">
        <v>4</v>
      </c>
      <c r="O34" s="2"/>
    </row>
    <row r="35" spans="12:15" x14ac:dyDescent="0.3">
      <c r="L35" s="9">
        <v>5</v>
      </c>
      <c r="O35" s="2"/>
    </row>
    <row r="36" spans="12:15" x14ac:dyDescent="0.3">
      <c r="L36" s="9">
        <v>3</v>
      </c>
      <c r="O36" s="2"/>
    </row>
    <row r="37" spans="12:15" x14ac:dyDescent="0.3">
      <c r="L37" s="9">
        <v>2</v>
      </c>
      <c r="O37" s="2"/>
    </row>
    <row r="38" spans="12:15" x14ac:dyDescent="0.3">
      <c r="L38" s="9">
        <v>7</v>
      </c>
      <c r="O38" s="2"/>
    </row>
    <row r="39" spans="12:15" x14ac:dyDescent="0.3">
      <c r="L39" s="9">
        <v>2</v>
      </c>
      <c r="O39" s="2"/>
    </row>
    <row r="40" spans="12:15" x14ac:dyDescent="0.3">
      <c r="L40" s="9">
        <v>3</v>
      </c>
      <c r="O40" s="2"/>
    </row>
    <row r="41" spans="12:15" x14ac:dyDescent="0.3">
      <c r="L41" s="9">
        <v>4</v>
      </c>
      <c r="O41" s="2"/>
    </row>
    <row r="42" spans="12:15" x14ac:dyDescent="0.3">
      <c r="L42" s="9">
        <v>5</v>
      </c>
      <c r="O42" s="2"/>
    </row>
    <row r="43" spans="12:15" x14ac:dyDescent="0.3">
      <c r="L43" s="9">
        <v>1</v>
      </c>
      <c r="O43" s="2"/>
    </row>
    <row r="44" spans="12:15" x14ac:dyDescent="0.3">
      <c r="L44" s="9">
        <v>6</v>
      </c>
      <c r="O44" s="2"/>
    </row>
    <row r="45" spans="12:15" x14ac:dyDescent="0.3">
      <c r="L45" s="9">
        <v>2</v>
      </c>
      <c r="O45" s="2"/>
    </row>
    <row r="46" spans="12:15" x14ac:dyDescent="0.3">
      <c r="L46" s="9">
        <v>3</v>
      </c>
      <c r="O46" s="2"/>
    </row>
    <row r="47" spans="12:15" x14ac:dyDescent="0.3">
      <c r="L47" s="9">
        <v>4</v>
      </c>
      <c r="O47" s="2"/>
    </row>
    <row r="48" spans="12:15" x14ac:dyDescent="0.3">
      <c r="L48" s="9">
        <v>5</v>
      </c>
      <c r="O48" s="2"/>
    </row>
    <row r="49" spans="12:15" x14ac:dyDescent="0.3">
      <c r="L49" s="9">
        <v>3</v>
      </c>
      <c r="O49" s="2"/>
    </row>
    <row r="50" spans="12:15" x14ac:dyDescent="0.3">
      <c r="L50" s="9">
        <v>2</v>
      </c>
      <c r="O50" s="2"/>
    </row>
    <row r="51" spans="12:15" x14ac:dyDescent="0.3">
      <c r="L51" s="9">
        <v>4</v>
      </c>
      <c r="O51" s="2"/>
    </row>
    <row r="52" spans="12:15" x14ac:dyDescent="0.3">
      <c r="L52" s="9">
        <v>2</v>
      </c>
      <c r="O52" s="2"/>
    </row>
    <row r="53" spans="12:15" x14ac:dyDescent="0.3">
      <c r="L53" s="9">
        <v>6</v>
      </c>
      <c r="O53" s="2"/>
    </row>
    <row r="54" spans="12:15" x14ac:dyDescent="0.3">
      <c r="L54" s="9">
        <v>3</v>
      </c>
      <c r="O54" s="2"/>
    </row>
    <row r="55" spans="12:15" x14ac:dyDescent="0.3">
      <c r="L55" s="9">
        <v>2</v>
      </c>
      <c r="O55" s="2"/>
    </row>
    <row r="56" spans="12:15" x14ac:dyDescent="0.3">
      <c r="L56" s="9">
        <v>4</v>
      </c>
      <c r="O56" s="2"/>
    </row>
    <row r="57" spans="12:15" ht="15" thickBot="1" x14ac:dyDescent="0.35">
      <c r="L57" s="10">
        <v>5</v>
      </c>
      <c r="M57" s="29"/>
      <c r="N57" s="29"/>
      <c r="O57" s="4"/>
    </row>
  </sheetData>
  <mergeCells count="1">
    <mergeCell ref="E2:J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04"/>
  <sheetViews>
    <sheetView workbookViewId="0">
      <selection activeCell="F24" sqref="F24"/>
    </sheetView>
  </sheetViews>
  <sheetFormatPr defaultRowHeight="14.4" x14ac:dyDescent="0.3"/>
  <cols>
    <col min="1" max="1" width="11.44140625" bestFit="1" customWidth="1"/>
    <col min="3" max="3" width="16.5546875" bestFit="1" customWidth="1"/>
    <col min="6" max="6" width="28.109375" bestFit="1" customWidth="1"/>
  </cols>
  <sheetData>
    <row r="2" spans="1:14" ht="18" x14ac:dyDescent="0.35">
      <c r="I2" s="132" t="s">
        <v>52</v>
      </c>
      <c r="J2" s="132"/>
      <c r="K2" s="132"/>
      <c r="L2" s="132"/>
      <c r="M2" s="132"/>
      <c r="N2" s="132"/>
    </row>
    <row r="3" spans="1:14" ht="15" thickBot="1" x14ac:dyDescent="0.35"/>
    <row r="4" spans="1:14" ht="15" thickBot="1" x14ac:dyDescent="0.35">
      <c r="A4" s="36" t="s">
        <v>57</v>
      </c>
      <c r="B4" s="27"/>
      <c r="C4" s="27"/>
      <c r="D4" s="28"/>
    </row>
    <row r="5" spans="1:14" x14ac:dyDescent="0.3">
      <c r="A5" s="11" t="s">
        <v>53</v>
      </c>
      <c r="C5" s="13" t="s">
        <v>53</v>
      </c>
      <c r="D5" s="14"/>
    </row>
    <row r="6" spans="1:14" ht="15" thickBot="1" x14ac:dyDescent="0.35">
      <c r="A6" s="9">
        <v>10</v>
      </c>
      <c r="C6" s="1"/>
      <c r="D6" s="2"/>
    </row>
    <row r="7" spans="1:14" x14ac:dyDescent="0.3">
      <c r="A7" s="9">
        <v>15</v>
      </c>
      <c r="C7" s="30" t="s">
        <v>6</v>
      </c>
      <c r="D7" s="33">
        <v>17.787878787878789</v>
      </c>
      <c r="F7" s="52" t="s">
        <v>54</v>
      </c>
      <c r="G7" s="56"/>
      <c r="H7" s="56">
        <v>17.787880000000001</v>
      </c>
      <c r="I7" s="53"/>
    </row>
    <row r="8" spans="1:14" x14ac:dyDescent="0.3">
      <c r="A8" s="9">
        <v>12</v>
      </c>
      <c r="C8" s="1" t="s">
        <v>7</v>
      </c>
      <c r="D8" s="2">
        <v>1.0388528082155022</v>
      </c>
      <c r="F8" s="50" t="s">
        <v>55</v>
      </c>
      <c r="G8" s="57"/>
      <c r="H8" s="57">
        <v>103</v>
      </c>
      <c r="I8" s="51"/>
    </row>
    <row r="9" spans="1:14" ht="15" thickBot="1" x14ac:dyDescent="0.35">
      <c r="A9" s="9">
        <v>18</v>
      </c>
      <c r="C9" s="1" t="s">
        <v>8</v>
      </c>
      <c r="D9" s="2">
        <v>17</v>
      </c>
      <c r="F9" s="54" t="s">
        <v>56</v>
      </c>
      <c r="G9" s="58"/>
      <c r="H9" s="58">
        <v>10.336449999999999</v>
      </c>
      <c r="I9" s="55"/>
    </row>
    <row r="10" spans="1:14" x14ac:dyDescent="0.3">
      <c r="A10" s="9">
        <v>20</v>
      </c>
      <c r="C10" s="1" t="s">
        <v>9</v>
      </c>
      <c r="D10" s="2">
        <v>16</v>
      </c>
    </row>
    <row r="11" spans="1:14" x14ac:dyDescent="0.3">
      <c r="A11" s="9">
        <v>25</v>
      </c>
      <c r="C11" s="30" t="s">
        <v>10</v>
      </c>
      <c r="D11" s="33">
        <v>10.336454931773575</v>
      </c>
    </row>
    <row r="12" spans="1:14" x14ac:dyDescent="0.3">
      <c r="A12" s="9">
        <v>8</v>
      </c>
      <c r="C12" s="1" t="s">
        <v>11</v>
      </c>
      <c r="D12" s="2">
        <v>106.84230055658628</v>
      </c>
    </row>
    <row r="13" spans="1:14" x14ac:dyDescent="0.3">
      <c r="A13" s="9">
        <v>14</v>
      </c>
      <c r="C13" s="1" t="s">
        <v>12</v>
      </c>
      <c r="D13" s="2">
        <v>68.7174611506952</v>
      </c>
    </row>
    <row r="14" spans="1:14" x14ac:dyDescent="0.3">
      <c r="A14" s="9">
        <v>16</v>
      </c>
      <c r="C14" s="1" t="s">
        <v>13</v>
      </c>
      <c r="D14" s="2">
        <v>7.6077766598011838</v>
      </c>
    </row>
    <row r="15" spans="1:14" x14ac:dyDescent="0.3">
      <c r="A15" s="9">
        <v>22</v>
      </c>
      <c r="C15" s="30" t="s">
        <v>14</v>
      </c>
      <c r="D15" s="33">
        <v>103</v>
      </c>
    </row>
    <row r="16" spans="1:14" x14ac:dyDescent="0.3">
      <c r="A16" s="9">
        <v>9</v>
      </c>
      <c r="C16" s="1" t="s">
        <v>15</v>
      </c>
      <c r="D16" s="2">
        <v>8</v>
      </c>
    </row>
    <row r="17" spans="1:4" x14ac:dyDescent="0.3">
      <c r="A17" s="9">
        <v>17</v>
      </c>
      <c r="C17" s="1" t="s">
        <v>16</v>
      </c>
      <c r="D17" s="2">
        <v>111</v>
      </c>
    </row>
    <row r="18" spans="1:4" ht="15" thickBot="1" x14ac:dyDescent="0.35">
      <c r="A18" s="9">
        <v>11</v>
      </c>
      <c r="C18" s="3" t="s">
        <v>17</v>
      </c>
      <c r="D18" s="4">
        <v>1761</v>
      </c>
    </row>
    <row r="19" spans="1:4" ht="15" thickBot="1" x14ac:dyDescent="0.35">
      <c r="A19" s="9">
        <v>13</v>
      </c>
      <c r="C19" s="29" t="s">
        <v>18</v>
      </c>
      <c r="D19" s="4">
        <v>99</v>
      </c>
    </row>
    <row r="20" spans="1:4" x14ac:dyDescent="0.3">
      <c r="A20" s="9">
        <v>19</v>
      </c>
      <c r="D20" s="2"/>
    </row>
    <row r="21" spans="1:4" x14ac:dyDescent="0.3">
      <c r="A21" s="9">
        <v>23</v>
      </c>
      <c r="D21" s="2"/>
    </row>
    <row r="22" spans="1:4" x14ac:dyDescent="0.3">
      <c r="A22" s="9">
        <v>21</v>
      </c>
      <c r="D22" s="2"/>
    </row>
    <row r="23" spans="1:4" x14ac:dyDescent="0.3">
      <c r="A23" s="9">
        <v>16</v>
      </c>
      <c r="D23" s="2"/>
    </row>
    <row r="24" spans="1:4" x14ac:dyDescent="0.3">
      <c r="A24" s="9">
        <v>24</v>
      </c>
      <c r="D24" s="2"/>
    </row>
    <row r="25" spans="1:4" x14ac:dyDescent="0.3">
      <c r="A25" s="9">
        <v>27</v>
      </c>
      <c r="D25" s="2"/>
    </row>
    <row r="26" spans="1:4" x14ac:dyDescent="0.3">
      <c r="A26" s="9">
        <v>13</v>
      </c>
      <c r="D26" s="2"/>
    </row>
    <row r="27" spans="1:4" x14ac:dyDescent="0.3">
      <c r="A27" s="9">
        <v>10</v>
      </c>
      <c r="D27" s="2"/>
    </row>
    <row r="28" spans="1:4" x14ac:dyDescent="0.3">
      <c r="A28" s="9">
        <v>18</v>
      </c>
      <c r="D28" s="2"/>
    </row>
    <row r="29" spans="1:4" x14ac:dyDescent="0.3">
      <c r="A29" s="9">
        <v>16</v>
      </c>
      <c r="D29" s="2"/>
    </row>
    <row r="30" spans="1:4" x14ac:dyDescent="0.3">
      <c r="A30" s="9">
        <v>12</v>
      </c>
      <c r="D30" s="2"/>
    </row>
    <row r="31" spans="1:4" x14ac:dyDescent="0.3">
      <c r="A31" s="9">
        <v>14</v>
      </c>
      <c r="D31" s="2"/>
    </row>
    <row r="32" spans="1:4" x14ac:dyDescent="0.3">
      <c r="A32" s="9">
        <v>19</v>
      </c>
      <c r="D32" s="2"/>
    </row>
    <row r="33" spans="1:4" x14ac:dyDescent="0.3">
      <c r="A33" s="9">
        <v>21</v>
      </c>
      <c r="D33" s="2"/>
    </row>
    <row r="34" spans="1:4" x14ac:dyDescent="0.3">
      <c r="A34" s="9">
        <v>11</v>
      </c>
      <c r="D34" s="2"/>
    </row>
    <row r="35" spans="1:4" x14ac:dyDescent="0.3">
      <c r="A35" s="9">
        <v>17</v>
      </c>
      <c r="D35" s="2"/>
    </row>
    <row r="36" spans="1:4" x14ac:dyDescent="0.3">
      <c r="A36" s="9">
        <v>15</v>
      </c>
      <c r="D36" s="2"/>
    </row>
    <row r="37" spans="1:4" x14ac:dyDescent="0.3">
      <c r="A37" s="9">
        <v>20</v>
      </c>
      <c r="D37" s="2"/>
    </row>
    <row r="38" spans="1:4" x14ac:dyDescent="0.3">
      <c r="A38" s="9">
        <v>26</v>
      </c>
      <c r="D38" s="2"/>
    </row>
    <row r="39" spans="1:4" x14ac:dyDescent="0.3">
      <c r="A39" s="9">
        <v>13</v>
      </c>
      <c r="D39" s="2"/>
    </row>
    <row r="40" spans="1:4" x14ac:dyDescent="0.3">
      <c r="A40" s="9">
        <v>12</v>
      </c>
      <c r="D40" s="2"/>
    </row>
    <row r="41" spans="1:4" x14ac:dyDescent="0.3">
      <c r="A41" s="9">
        <v>14</v>
      </c>
      <c r="D41" s="2"/>
    </row>
    <row r="42" spans="1:4" x14ac:dyDescent="0.3">
      <c r="A42" s="9">
        <v>22</v>
      </c>
      <c r="D42" s="2"/>
    </row>
    <row r="43" spans="1:4" x14ac:dyDescent="0.3">
      <c r="A43" s="9">
        <v>19</v>
      </c>
      <c r="D43" s="2"/>
    </row>
    <row r="44" spans="1:4" x14ac:dyDescent="0.3">
      <c r="A44" s="9">
        <v>111</v>
      </c>
      <c r="D44" s="2"/>
    </row>
    <row r="45" spans="1:4" x14ac:dyDescent="0.3">
      <c r="A45" s="9">
        <v>25</v>
      </c>
      <c r="D45" s="2"/>
    </row>
    <row r="46" spans="1:4" x14ac:dyDescent="0.3">
      <c r="A46" s="9">
        <v>18</v>
      </c>
      <c r="D46" s="2"/>
    </row>
    <row r="47" spans="1:4" x14ac:dyDescent="0.3">
      <c r="A47" s="9">
        <v>16</v>
      </c>
      <c r="D47" s="2"/>
    </row>
    <row r="48" spans="1:4" x14ac:dyDescent="0.3">
      <c r="A48" s="9">
        <v>13</v>
      </c>
      <c r="D48" s="2"/>
    </row>
    <row r="49" spans="1:4" x14ac:dyDescent="0.3">
      <c r="A49" s="9">
        <v>21</v>
      </c>
      <c r="D49" s="2"/>
    </row>
    <row r="50" spans="1:4" x14ac:dyDescent="0.3">
      <c r="A50" s="9">
        <v>20</v>
      </c>
      <c r="D50" s="2"/>
    </row>
    <row r="51" spans="1:4" x14ac:dyDescent="0.3">
      <c r="A51" s="9">
        <v>15</v>
      </c>
      <c r="D51" s="2"/>
    </row>
    <row r="52" spans="1:4" x14ac:dyDescent="0.3">
      <c r="A52" s="9">
        <v>12</v>
      </c>
      <c r="D52" s="2"/>
    </row>
    <row r="53" spans="1:4" x14ac:dyDescent="0.3">
      <c r="A53" s="9">
        <v>19</v>
      </c>
      <c r="D53" s="2"/>
    </row>
    <row r="54" spans="1:4" x14ac:dyDescent="0.3">
      <c r="A54" s="9">
        <v>17</v>
      </c>
      <c r="D54" s="2"/>
    </row>
    <row r="55" spans="1:4" x14ac:dyDescent="0.3">
      <c r="A55" s="9">
        <v>14</v>
      </c>
      <c r="D55" s="2"/>
    </row>
    <row r="56" spans="1:4" x14ac:dyDescent="0.3">
      <c r="A56" s="9">
        <v>16</v>
      </c>
      <c r="D56" s="2"/>
    </row>
    <row r="57" spans="1:4" x14ac:dyDescent="0.3">
      <c r="A57" s="9">
        <v>23</v>
      </c>
      <c r="D57" s="2"/>
    </row>
    <row r="58" spans="1:4" x14ac:dyDescent="0.3">
      <c r="A58" s="9">
        <v>18</v>
      </c>
      <c r="D58" s="2"/>
    </row>
    <row r="59" spans="1:4" x14ac:dyDescent="0.3">
      <c r="A59" s="9">
        <v>15</v>
      </c>
      <c r="D59" s="2"/>
    </row>
    <row r="60" spans="1:4" x14ac:dyDescent="0.3">
      <c r="A60" s="9">
        <v>11</v>
      </c>
      <c r="D60" s="2"/>
    </row>
    <row r="61" spans="1:4" x14ac:dyDescent="0.3">
      <c r="A61" s="9">
        <v>19</v>
      </c>
      <c r="D61" s="2"/>
    </row>
    <row r="62" spans="1:4" x14ac:dyDescent="0.3">
      <c r="A62" s="9">
        <v>22</v>
      </c>
      <c r="D62" s="2"/>
    </row>
    <row r="63" spans="1:4" x14ac:dyDescent="0.3">
      <c r="A63" s="9">
        <v>17</v>
      </c>
      <c r="D63" s="2"/>
    </row>
    <row r="64" spans="1:4" x14ac:dyDescent="0.3">
      <c r="A64" s="9">
        <v>12</v>
      </c>
      <c r="D64" s="2"/>
    </row>
    <row r="65" spans="1:4" x14ac:dyDescent="0.3">
      <c r="A65" s="9">
        <v>16</v>
      </c>
      <c r="D65" s="2"/>
    </row>
    <row r="66" spans="1:4" x14ac:dyDescent="0.3">
      <c r="A66" s="9">
        <v>14</v>
      </c>
      <c r="D66" s="2"/>
    </row>
    <row r="67" spans="1:4" x14ac:dyDescent="0.3">
      <c r="A67" s="9">
        <v>23</v>
      </c>
      <c r="D67" s="2"/>
    </row>
    <row r="68" spans="1:4" x14ac:dyDescent="0.3">
      <c r="A68" s="9">
        <v>18</v>
      </c>
      <c r="D68" s="2"/>
    </row>
    <row r="69" spans="1:4" x14ac:dyDescent="0.3">
      <c r="A69" s="9">
        <v>20</v>
      </c>
      <c r="D69" s="2"/>
    </row>
    <row r="70" spans="1:4" x14ac:dyDescent="0.3">
      <c r="A70" s="9">
        <v>25</v>
      </c>
      <c r="D70" s="2"/>
    </row>
    <row r="71" spans="1:4" x14ac:dyDescent="0.3">
      <c r="A71" s="9">
        <v>13</v>
      </c>
      <c r="D71" s="2"/>
    </row>
    <row r="72" spans="1:4" x14ac:dyDescent="0.3">
      <c r="A72" s="9">
        <v>11</v>
      </c>
      <c r="D72" s="2"/>
    </row>
    <row r="73" spans="1:4" x14ac:dyDescent="0.3">
      <c r="A73" s="9">
        <v>22</v>
      </c>
      <c r="D73" s="2"/>
    </row>
    <row r="74" spans="1:4" x14ac:dyDescent="0.3">
      <c r="A74" s="9">
        <v>19</v>
      </c>
      <c r="D74" s="2"/>
    </row>
    <row r="75" spans="1:4" x14ac:dyDescent="0.3">
      <c r="A75" s="9">
        <v>17</v>
      </c>
      <c r="D75" s="2"/>
    </row>
    <row r="76" spans="1:4" x14ac:dyDescent="0.3">
      <c r="A76" s="9">
        <v>15</v>
      </c>
      <c r="D76" s="2"/>
    </row>
    <row r="77" spans="1:4" x14ac:dyDescent="0.3">
      <c r="A77" s="9">
        <v>16</v>
      </c>
      <c r="D77" s="2"/>
    </row>
    <row r="78" spans="1:4" x14ac:dyDescent="0.3">
      <c r="A78" s="9">
        <v>13</v>
      </c>
      <c r="D78" s="2"/>
    </row>
    <row r="79" spans="1:4" x14ac:dyDescent="0.3">
      <c r="A79" s="9">
        <v>14</v>
      </c>
      <c r="D79" s="2"/>
    </row>
    <row r="80" spans="1:4" x14ac:dyDescent="0.3">
      <c r="A80" s="9">
        <v>18</v>
      </c>
      <c r="D80" s="2"/>
    </row>
    <row r="81" spans="1:4" x14ac:dyDescent="0.3">
      <c r="A81" s="9">
        <v>20</v>
      </c>
      <c r="D81" s="2"/>
    </row>
    <row r="82" spans="1:4" x14ac:dyDescent="0.3">
      <c r="A82" s="9">
        <v>19</v>
      </c>
      <c r="D82" s="2"/>
    </row>
    <row r="83" spans="1:4" x14ac:dyDescent="0.3">
      <c r="A83" s="9">
        <v>21</v>
      </c>
      <c r="D83" s="2"/>
    </row>
    <row r="84" spans="1:4" x14ac:dyDescent="0.3">
      <c r="A84" s="9">
        <v>17</v>
      </c>
      <c r="D84" s="2"/>
    </row>
    <row r="85" spans="1:4" x14ac:dyDescent="0.3">
      <c r="A85" s="9">
        <v>12</v>
      </c>
      <c r="D85" s="2"/>
    </row>
    <row r="86" spans="1:4" x14ac:dyDescent="0.3">
      <c r="A86" s="9">
        <v>15</v>
      </c>
      <c r="D86" s="2"/>
    </row>
    <row r="87" spans="1:4" x14ac:dyDescent="0.3">
      <c r="A87" s="9">
        <v>13</v>
      </c>
      <c r="D87" s="2"/>
    </row>
    <row r="88" spans="1:4" x14ac:dyDescent="0.3">
      <c r="A88" s="9">
        <v>16</v>
      </c>
      <c r="D88" s="2"/>
    </row>
    <row r="89" spans="1:4" x14ac:dyDescent="0.3">
      <c r="A89" s="9">
        <v>14</v>
      </c>
      <c r="D89" s="2"/>
    </row>
    <row r="90" spans="1:4" x14ac:dyDescent="0.3">
      <c r="A90" s="9">
        <v>22</v>
      </c>
      <c r="D90" s="2"/>
    </row>
    <row r="91" spans="1:4" x14ac:dyDescent="0.3">
      <c r="A91" s="9">
        <v>21</v>
      </c>
      <c r="D91" s="2"/>
    </row>
    <row r="92" spans="1:4" x14ac:dyDescent="0.3">
      <c r="A92" s="9">
        <v>19</v>
      </c>
      <c r="D92" s="2"/>
    </row>
    <row r="93" spans="1:4" x14ac:dyDescent="0.3">
      <c r="A93" s="9">
        <v>18</v>
      </c>
      <c r="D93" s="2"/>
    </row>
    <row r="94" spans="1:4" x14ac:dyDescent="0.3">
      <c r="A94" s="9">
        <v>16</v>
      </c>
      <c r="D94" s="2"/>
    </row>
    <row r="95" spans="1:4" x14ac:dyDescent="0.3">
      <c r="A95" s="9">
        <v>11</v>
      </c>
      <c r="D95" s="2"/>
    </row>
    <row r="96" spans="1:4" x14ac:dyDescent="0.3">
      <c r="A96" s="9">
        <v>17</v>
      </c>
      <c r="D96" s="2"/>
    </row>
    <row r="97" spans="1:4" x14ac:dyDescent="0.3">
      <c r="A97" s="9">
        <v>14</v>
      </c>
      <c r="D97" s="2"/>
    </row>
    <row r="98" spans="1:4" x14ac:dyDescent="0.3">
      <c r="A98" s="9">
        <v>12</v>
      </c>
      <c r="D98" s="2"/>
    </row>
    <row r="99" spans="1:4" x14ac:dyDescent="0.3">
      <c r="A99" s="9">
        <v>23</v>
      </c>
      <c r="D99" s="2"/>
    </row>
    <row r="100" spans="1:4" x14ac:dyDescent="0.3">
      <c r="A100" s="9">
        <v>19</v>
      </c>
      <c r="D100" s="2"/>
    </row>
    <row r="101" spans="1:4" x14ac:dyDescent="0.3">
      <c r="A101" s="9">
        <v>15</v>
      </c>
      <c r="D101" s="2"/>
    </row>
    <row r="102" spans="1:4" x14ac:dyDescent="0.3">
      <c r="A102" s="9">
        <v>16</v>
      </c>
      <c r="D102" s="2"/>
    </row>
    <row r="103" spans="1:4" x14ac:dyDescent="0.3">
      <c r="A103" s="9">
        <v>13</v>
      </c>
      <c r="D103" s="2"/>
    </row>
    <row r="104" spans="1:4" ht="15" thickBot="1" x14ac:dyDescent="0.35">
      <c r="A104" s="10">
        <v>18</v>
      </c>
      <c r="B104" s="29"/>
      <c r="C104" s="29"/>
      <c r="D104" s="4"/>
    </row>
  </sheetData>
  <mergeCells count="1">
    <mergeCell ref="I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27"/>
  <sheetViews>
    <sheetView topLeftCell="B1" workbookViewId="0">
      <selection activeCell="E31" sqref="E31"/>
    </sheetView>
  </sheetViews>
  <sheetFormatPr defaultRowHeight="14.4" x14ac:dyDescent="0.3"/>
  <cols>
    <col min="3" max="3" width="15.109375" bestFit="1" customWidth="1"/>
    <col min="8" max="8" width="16.5546875" bestFit="1" customWidth="1"/>
    <col min="9" max="9" width="12.6640625" bestFit="1" customWidth="1"/>
    <col min="10" max="10" width="16.5546875" bestFit="1" customWidth="1"/>
    <col min="11" max="11" width="12.6640625" bestFit="1" customWidth="1"/>
    <col min="12" max="12" width="16.5546875" bestFit="1" customWidth="1"/>
    <col min="13" max="13" width="12.6640625" bestFit="1" customWidth="1"/>
    <col min="14" max="14" width="20" customWidth="1"/>
    <col min="16" max="16" width="16.5546875" bestFit="1" customWidth="1"/>
    <col min="17" max="17" width="12.6640625" bestFit="1" customWidth="1"/>
  </cols>
  <sheetData>
    <row r="2" spans="2:17" ht="18.600000000000001" thickBot="1" x14ac:dyDescent="0.4">
      <c r="I2" s="133" t="s">
        <v>58</v>
      </c>
      <c r="J2" s="133"/>
      <c r="K2" s="133"/>
      <c r="L2" s="133"/>
      <c r="M2" s="133"/>
      <c r="N2" s="133"/>
    </row>
    <row r="3" spans="2:17" ht="15" thickBot="1" x14ac:dyDescent="0.35"/>
    <row r="4" spans="2:17" ht="18" x14ac:dyDescent="0.35">
      <c r="B4" s="26"/>
      <c r="C4" s="134" t="s">
        <v>66</v>
      </c>
      <c r="D4" s="134"/>
      <c r="E4" s="27"/>
      <c r="F4" s="28"/>
    </row>
    <row r="5" spans="2:17" ht="15" thickBot="1" x14ac:dyDescent="0.35">
      <c r="B5" s="1"/>
      <c r="F5" s="2"/>
    </row>
    <row r="6" spans="2:17" ht="15" thickBot="1" x14ac:dyDescent="0.35">
      <c r="B6" s="59" t="s">
        <v>61</v>
      </c>
      <c r="C6" s="60" t="s">
        <v>59</v>
      </c>
      <c r="D6" s="60" t="s">
        <v>60</v>
      </c>
      <c r="E6" s="60" t="s">
        <v>62</v>
      </c>
      <c r="F6" s="61" t="s">
        <v>63</v>
      </c>
      <c r="H6" s="71" t="s">
        <v>61</v>
      </c>
      <c r="I6" s="72"/>
      <c r="J6" s="71" t="s">
        <v>59</v>
      </c>
      <c r="K6" s="72"/>
      <c r="L6" s="71" t="s">
        <v>60</v>
      </c>
      <c r="M6" s="72"/>
      <c r="N6" s="71" t="s">
        <v>62</v>
      </c>
      <c r="O6" s="72"/>
      <c r="P6" s="73" t="s">
        <v>63</v>
      </c>
      <c r="Q6" s="72"/>
    </row>
    <row r="7" spans="2:17" x14ac:dyDescent="0.3">
      <c r="B7" s="1">
        <v>30</v>
      </c>
      <c r="C7">
        <v>25</v>
      </c>
      <c r="D7">
        <v>22</v>
      </c>
      <c r="E7">
        <v>18</v>
      </c>
      <c r="F7" s="2">
        <v>35</v>
      </c>
      <c r="H7" s="1"/>
      <c r="I7" s="2"/>
      <c r="J7" s="1"/>
      <c r="K7" s="2"/>
      <c r="L7" s="1"/>
      <c r="M7" s="2"/>
      <c r="N7" s="1"/>
      <c r="O7" s="2"/>
      <c r="Q7" s="2"/>
    </row>
    <row r="8" spans="2:17" x14ac:dyDescent="0.3">
      <c r="B8" s="1">
        <v>32</v>
      </c>
      <c r="C8">
        <v>27</v>
      </c>
      <c r="D8">
        <v>23</v>
      </c>
      <c r="E8">
        <v>17</v>
      </c>
      <c r="F8" s="2">
        <v>36</v>
      </c>
      <c r="H8" s="68" t="s">
        <v>6</v>
      </c>
      <c r="I8" s="69">
        <v>30.6</v>
      </c>
      <c r="J8" s="68" t="s">
        <v>6</v>
      </c>
      <c r="K8" s="69">
        <v>25.9</v>
      </c>
      <c r="L8" s="68" t="s">
        <v>6</v>
      </c>
      <c r="M8" s="69">
        <v>22.9</v>
      </c>
      <c r="N8" s="68" t="s">
        <v>6</v>
      </c>
      <c r="O8" s="69">
        <v>18.8</v>
      </c>
      <c r="P8" s="70" t="s">
        <v>6</v>
      </c>
      <c r="Q8" s="69">
        <v>34.200000000000003</v>
      </c>
    </row>
    <row r="9" spans="2:17" x14ac:dyDescent="0.3">
      <c r="B9" s="1">
        <v>33</v>
      </c>
      <c r="C9">
        <v>26</v>
      </c>
      <c r="D9">
        <v>20</v>
      </c>
      <c r="E9">
        <v>19</v>
      </c>
      <c r="F9" s="2">
        <v>34</v>
      </c>
      <c r="H9" s="1" t="s">
        <v>7</v>
      </c>
      <c r="I9" s="2">
        <v>0.47609522856952335</v>
      </c>
      <c r="J9" s="1" t="s">
        <v>7</v>
      </c>
      <c r="K9" s="2">
        <v>0.52599112793531677</v>
      </c>
      <c r="L9" s="1" t="s">
        <v>7</v>
      </c>
      <c r="M9" s="2">
        <v>0.52599112793531677</v>
      </c>
      <c r="N9" s="1" t="s">
        <v>7</v>
      </c>
      <c r="O9" s="2">
        <v>0.41633319989322654</v>
      </c>
      <c r="P9" t="s">
        <v>7</v>
      </c>
      <c r="Q9" s="2">
        <v>0.41633319989322654</v>
      </c>
    </row>
    <row r="10" spans="2:17" x14ac:dyDescent="0.3">
      <c r="B10" s="1">
        <v>28</v>
      </c>
      <c r="C10">
        <v>23</v>
      </c>
      <c r="D10">
        <v>25</v>
      </c>
      <c r="E10">
        <v>20</v>
      </c>
      <c r="F10" s="2">
        <v>35</v>
      </c>
      <c r="H10" s="1" t="s">
        <v>8</v>
      </c>
      <c r="I10" s="2">
        <v>30.5</v>
      </c>
      <c r="J10" s="1" t="s">
        <v>8</v>
      </c>
      <c r="K10" s="2">
        <v>26</v>
      </c>
      <c r="L10" s="1" t="s">
        <v>8</v>
      </c>
      <c r="M10" s="2">
        <v>23</v>
      </c>
      <c r="N10" s="1" t="s">
        <v>8</v>
      </c>
      <c r="O10" s="2">
        <v>19</v>
      </c>
      <c r="P10" t="s">
        <v>8</v>
      </c>
      <c r="Q10" s="2">
        <v>34</v>
      </c>
    </row>
    <row r="11" spans="2:17" x14ac:dyDescent="0.3">
      <c r="B11" s="1">
        <v>31</v>
      </c>
      <c r="C11">
        <v>28</v>
      </c>
      <c r="D11">
        <v>21</v>
      </c>
      <c r="E11">
        <v>21</v>
      </c>
      <c r="F11" s="2">
        <v>33</v>
      </c>
      <c r="H11" s="1" t="s">
        <v>9</v>
      </c>
      <c r="I11" s="2">
        <v>30</v>
      </c>
      <c r="J11" s="1" t="s">
        <v>9</v>
      </c>
      <c r="K11" s="2">
        <v>25</v>
      </c>
      <c r="L11" s="1" t="s">
        <v>9</v>
      </c>
      <c r="M11" s="2">
        <v>22</v>
      </c>
      <c r="N11" s="1" t="s">
        <v>9</v>
      </c>
      <c r="O11" s="2">
        <v>19</v>
      </c>
      <c r="P11" t="s">
        <v>9</v>
      </c>
      <c r="Q11" s="2">
        <v>34</v>
      </c>
    </row>
    <row r="12" spans="2:17" x14ac:dyDescent="0.3">
      <c r="B12" s="1">
        <v>30</v>
      </c>
      <c r="C12">
        <v>24</v>
      </c>
      <c r="D12">
        <v>24</v>
      </c>
      <c r="E12">
        <v>18</v>
      </c>
      <c r="F12" s="2">
        <v>34</v>
      </c>
      <c r="H12" s="1" t="s">
        <v>10</v>
      </c>
      <c r="I12" s="2">
        <v>1.5055453054181622</v>
      </c>
      <c r="J12" s="1" t="s">
        <v>10</v>
      </c>
      <c r="K12" s="2">
        <v>1.6633299933166201</v>
      </c>
      <c r="L12" s="1" t="s">
        <v>10</v>
      </c>
      <c r="M12" s="2">
        <v>1.6633299933166201</v>
      </c>
      <c r="N12" s="1" t="s">
        <v>10</v>
      </c>
      <c r="O12" s="2">
        <v>1.3165611772087666</v>
      </c>
      <c r="P12" t="s">
        <v>10</v>
      </c>
      <c r="Q12" s="2">
        <v>1.3165611772087666</v>
      </c>
    </row>
    <row r="13" spans="2:17" x14ac:dyDescent="0.3">
      <c r="B13" s="1">
        <v>29</v>
      </c>
      <c r="C13">
        <v>26</v>
      </c>
      <c r="D13">
        <v>23</v>
      </c>
      <c r="E13">
        <v>19</v>
      </c>
      <c r="F13" s="2">
        <v>32</v>
      </c>
      <c r="H13" s="68" t="s">
        <v>11</v>
      </c>
      <c r="I13" s="69">
        <v>2.2666666666666675</v>
      </c>
      <c r="J13" s="68" t="s">
        <v>11</v>
      </c>
      <c r="K13" s="69">
        <v>2.7666666666666675</v>
      </c>
      <c r="L13" s="68" t="s">
        <v>11</v>
      </c>
      <c r="M13" s="69">
        <v>2.7666666666666675</v>
      </c>
      <c r="N13" s="68" t="s">
        <v>11</v>
      </c>
      <c r="O13" s="69">
        <v>1.7333333333333332</v>
      </c>
      <c r="P13" s="70" t="s">
        <v>11</v>
      </c>
      <c r="Q13" s="69">
        <v>1.7333333333333332</v>
      </c>
    </row>
    <row r="14" spans="2:17" x14ac:dyDescent="0.3">
      <c r="B14" s="1">
        <v>30</v>
      </c>
      <c r="C14">
        <v>25</v>
      </c>
      <c r="D14">
        <v>22</v>
      </c>
      <c r="E14">
        <v>17</v>
      </c>
      <c r="F14" s="2">
        <v>33</v>
      </c>
      <c r="H14" s="1" t="s">
        <v>12</v>
      </c>
      <c r="I14" s="2">
        <v>-0.36517548195749105</v>
      </c>
      <c r="J14" s="1" t="s">
        <v>12</v>
      </c>
      <c r="K14" s="2">
        <v>-0.72102523692014664</v>
      </c>
      <c r="L14" s="1" t="s">
        <v>12</v>
      </c>
      <c r="M14" s="2">
        <v>-0.72102523692014664</v>
      </c>
      <c r="N14" s="1" t="s">
        <v>12</v>
      </c>
      <c r="O14" s="2">
        <v>-0.7512679628064256</v>
      </c>
      <c r="P14" t="s">
        <v>12</v>
      </c>
      <c r="Q14" s="2">
        <v>-0.75126796280642383</v>
      </c>
    </row>
    <row r="15" spans="2:17" x14ac:dyDescent="0.3">
      <c r="B15" s="1">
        <v>32</v>
      </c>
      <c r="C15">
        <v>27</v>
      </c>
      <c r="D15">
        <v>25</v>
      </c>
      <c r="E15">
        <v>20</v>
      </c>
      <c r="F15" s="2">
        <v>36</v>
      </c>
      <c r="H15" s="1" t="s">
        <v>13</v>
      </c>
      <c r="I15" s="2">
        <v>-0.11721373485089842</v>
      </c>
      <c r="J15" s="1" t="s">
        <v>13</v>
      </c>
      <c r="K15" s="2">
        <v>-0.34768401660268666</v>
      </c>
      <c r="L15" s="1" t="s">
        <v>13</v>
      </c>
      <c r="M15" s="2">
        <v>-0.34768401660268666</v>
      </c>
      <c r="N15" s="1" t="s">
        <v>13</v>
      </c>
      <c r="O15" s="2">
        <v>8.7640906766853641E-2</v>
      </c>
      <c r="P15" t="s">
        <v>13</v>
      </c>
      <c r="Q15" s="2">
        <v>-8.7640906766863744E-2</v>
      </c>
    </row>
    <row r="16" spans="2:17" ht="15" thickBot="1" x14ac:dyDescent="0.35">
      <c r="B16" s="3">
        <v>31</v>
      </c>
      <c r="C16" s="29">
        <v>28</v>
      </c>
      <c r="D16" s="29">
        <v>24</v>
      </c>
      <c r="E16" s="29">
        <v>19</v>
      </c>
      <c r="F16" s="4">
        <v>34</v>
      </c>
      <c r="H16" s="68" t="s">
        <v>14</v>
      </c>
      <c r="I16" s="69">
        <v>5</v>
      </c>
      <c r="J16" s="68" t="s">
        <v>14</v>
      </c>
      <c r="K16" s="69">
        <v>5</v>
      </c>
      <c r="L16" s="68" t="s">
        <v>14</v>
      </c>
      <c r="M16" s="69">
        <v>5</v>
      </c>
      <c r="N16" s="68" t="s">
        <v>14</v>
      </c>
      <c r="O16" s="69">
        <v>4</v>
      </c>
      <c r="P16" s="70" t="s">
        <v>14</v>
      </c>
      <c r="Q16" s="69">
        <v>4</v>
      </c>
    </row>
    <row r="17" spans="8:17" x14ac:dyDescent="0.3">
      <c r="H17" s="1" t="s">
        <v>15</v>
      </c>
      <c r="I17" s="2">
        <v>28</v>
      </c>
      <c r="J17" s="1" t="s">
        <v>15</v>
      </c>
      <c r="K17" s="2">
        <v>23</v>
      </c>
      <c r="L17" s="1" t="s">
        <v>15</v>
      </c>
      <c r="M17" s="2">
        <v>20</v>
      </c>
      <c r="N17" s="1" t="s">
        <v>15</v>
      </c>
      <c r="O17" s="2">
        <v>17</v>
      </c>
      <c r="P17" t="s">
        <v>15</v>
      </c>
      <c r="Q17" s="2">
        <v>32</v>
      </c>
    </row>
    <row r="18" spans="8:17" x14ac:dyDescent="0.3">
      <c r="H18" s="1" t="s">
        <v>16</v>
      </c>
      <c r="I18" s="2">
        <v>33</v>
      </c>
      <c r="J18" s="1" t="s">
        <v>16</v>
      </c>
      <c r="K18" s="2">
        <v>28</v>
      </c>
      <c r="L18" s="1" t="s">
        <v>16</v>
      </c>
      <c r="M18" s="2">
        <v>25</v>
      </c>
      <c r="N18" s="1" t="s">
        <v>16</v>
      </c>
      <c r="O18" s="2">
        <v>21</v>
      </c>
      <c r="P18" t="s">
        <v>16</v>
      </c>
      <c r="Q18" s="2">
        <v>36</v>
      </c>
    </row>
    <row r="19" spans="8:17" x14ac:dyDescent="0.3">
      <c r="H19" s="1" t="s">
        <v>17</v>
      </c>
      <c r="I19" s="2">
        <v>306</v>
      </c>
      <c r="J19" s="1" t="s">
        <v>17</v>
      </c>
      <c r="K19" s="2">
        <v>259</v>
      </c>
      <c r="L19" s="1" t="s">
        <v>17</v>
      </c>
      <c r="M19" s="2">
        <v>229</v>
      </c>
      <c r="N19" s="1" t="s">
        <v>17</v>
      </c>
      <c r="O19" s="2">
        <v>188</v>
      </c>
      <c r="P19" t="s">
        <v>17</v>
      </c>
      <c r="Q19" s="2">
        <v>342</v>
      </c>
    </row>
    <row r="20" spans="8:17" ht="15" thickBot="1" x14ac:dyDescent="0.35">
      <c r="H20" s="3" t="s">
        <v>18</v>
      </c>
      <c r="I20" s="4">
        <v>10</v>
      </c>
      <c r="J20" s="3" t="s">
        <v>18</v>
      </c>
      <c r="K20" s="4">
        <v>10</v>
      </c>
      <c r="L20" s="3" t="s">
        <v>18</v>
      </c>
      <c r="M20" s="4">
        <v>10</v>
      </c>
      <c r="N20" s="3" t="s">
        <v>18</v>
      </c>
      <c r="O20" s="4">
        <v>10</v>
      </c>
      <c r="P20" s="29" t="s">
        <v>18</v>
      </c>
      <c r="Q20" s="4">
        <v>10</v>
      </c>
    </row>
    <row r="21" spans="8:17" ht="15" thickBot="1" x14ac:dyDescent="0.35"/>
    <row r="22" spans="8:17" ht="15" thickBot="1" x14ac:dyDescent="0.35">
      <c r="H22" s="65"/>
      <c r="I22" s="66" t="s">
        <v>64</v>
      </c>
      <c r="J22" s="67" t="s">
        <v>65</v>
      </c>
      <c r="K22" s="66" t="s">
        <v>67</v>
      </c>
    </row>
    <row r="23" spans="8:17" x14ac:dyDescent="0.3">
      <c r="H23" s="62" t="s">
        <v>61</v>
      </c>
      <c r="I23" s="2">
        <v>30.6</v>
      </c>
      <c r="J23" s="9">
        <v>5</v>
      </c>
      <c r="K23" s="2">
        <v>2.2665999999999999</v>
      </c>
    </row>
    <row r="24" spans="8:17" x14ac:dyDescent="0.3">
      <c r="H24" s="62" t="s">
        <v>59</v>
      </c>
      <c r="I24" s="2">
        <v>25.9</v>
      </c>
      <c r="J24" s="9">
        <v>5</v>
      </c>
      <c r="K24" s="2">
        <v>2.7665999999999999</v>
      </c>
    </row>
    <row r="25" spans="8:17" x14ac:dyDescent="0.3">
      <c r="H25" s="62" t="s">
        <v>60</v>
      </c>
      <c r="I25" s="2">
        <v>22.9</v>
      </c>
      <c r="J25" s="9">
        <v>5</v>
      </c>
      <c r="K25" s="2">
        <v>2.7665999999999999</v>
      </c>
    </row>
    <row r="26" spans="8:17" x14ac:dyDescent="0.3">
      <c r="H26" s="62" t="s">
        <v>62</v>
      </c>
      <c r="I26" s="2">
        <v>18.8</v>
      </c>
      <c r="J26" s="9">
        <v>4</v>
      </c>
      <c r="K26" s="2">
        <v>1.7333000000000001</v>
      </c>
    </row>
    <row r="27" spans="8:17" ht="15" thickBot="1" x14ac:dyDescent="0.35">
      <c r="H27" s="63" t="s">
        <v>63</v>
      </c>
      <c r="I27" s="4">
        <v>34.200000000000003</v>
      </c>
      <c r="J27" s="10">
        <v>4</v>
      </c>
      <c r="K27" s="4">
        <v>1.7333000000000001</v>
      </c>
    </row>
  </sheetData>
  <mergeCells count="2">
    <mergeCell ref="I2:N2"/>
    <mergeCell ref="C4:D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R106"/>
  <sheetViews>
    <sheetView workbookViewId="0">
      <selection activeCell="G16" sqref="G16"/>
    </sheetView>
  </sheetViews>
  <sheetFormatPr defaultRowHeight="14.4" x14ac:dyDescent="0.3"/>
  <cols>
    <col min="3" max="3" width="16.5546875" bestFit="1" customWidth="1"/>
  </cols>
  <sheetData>
    <row r="2" spans="1:18" ht="18.600000000000001" thickBot="1" x14ac:dyDescent="0.4">
      <c r="H2" s="74" t="s">
        <v>69</v>
      </c>
      <c r="I2" s="74"/>
      <c r="J2" s="74"/>
      <c r="K2" s="74"/>
      <c r="L2" s="74"/>
      <c r="M2" s="74"/>
      <c r="N2" s="74"/>
      <c r="O2" s="74"/>
      <c r="P2" s="74"/>
      <c r="Q2" s="75"/>
      <c r="R2" s="75"/>
    </row>
    <row r="5" spans="1:18" ht="15" thickBot="1" x14ac:dyDescent="0.35">
      <c r="I5" s="135" t="s">
        <v>78</v>
      </c>
      <c r="J5" s="135"/>
    </row>
    <row r="6" spans="1:18" ht="15" thickBot="1" x14ac:dyDescent="0.35">
      <c r="A6" s="76" t="s">
        <v>68</v>
      </c>
      <c r="C6" s="77" t="s">
        <v>68</v>
      </c>
      <c r="D6" s="78"/>
      <c r="F6" s="81"/>
      <c r="G6" s="64" t="s">
        <v>68</v>
      </c>
      <c r="I6" s="94" t="s">
        <v>75</v>
      </c>
      <c r="J6" s="95" t="s">
        <v>77</v>
      </c>
    </row>
    <row r="7" spans="1:18" x14ac:dyDescent="0.3">
      <c r="A7" s="9">
        <v>28</v>
      </c>
      <c r="C7" s="1"/>
      <c r="D7" s="2"/>
      <c r="F7" s="79" t="s">
        <v>70</v>
      </c>
      <c r="G7" s="2">
        <v>31</v>
      </c>
      <c r="I7" s="1">
        <v>27</v>
      </c>
      <c r="J7" s="2">
        <v>3</v>
      </c>
    </row>
    <row r="8" spans="1:18" x14ac:dyDescent="0.3">
      <c r="A8" s="9">
        <v>32</v>
      </c>
      <c r="C8" s="1" t="s">
        <v>6</v>
      </c>
      <c r="D8" s="2">
        <v>34.99</v>
      </c>
      <c r="F8" s="79" t="s">
        <v>71</v>
      </c>
      <c r="G8" s="2">
        <v>35</v>
      </c>
      <c r="I8" s="1">
        <v>28.8</v>
      </c>
      <c r="J8" s="2">
        <v>5</v>
      </c>
    </row>
    <row r="9" spans="1:18" ht="15" thickBot="1" x14ac:dyDescent="0.35">
      <c r="A9" s="9">
        <v>35</v>
      </c>
      <c r="C9" s="1" t="s">
        <v>7</v>
      </c>
      <c r="D9" s="2">
        <v>0.48147395746516991</v>
      </c>
      <c r="F9" s="80" t="s">
        <v>65</v>
      </c>
      <c r="G9" s="4">
        <v>18</v>
      </c>
      <c r="I9" s="1">
        <v>30.6</v>
      </c>
      <c r="J9" s="2">
        <v>13</v>
      </c>
    </row>
    <row r="10" spans="1:18" x14ac:dyDescent="0.3">
      <c r="A10" s="9">
        <v>40</v>
      </c>
      <c r="C10" s="79" t="s">
        <v>8</v>
      </c>
      <c r="D10" s="82">
        <v>35</v>
      </c>
      <c r="I10" s="1">
        <v>32.4</v>
      </c>
      <c r="J10" s="2">
        <v>15</v>
      </c>
    </row>
    <row r="11" spans="1:18" x14ac:dyDescent="0.3">
      <c r="A11" s="9">
        <v>42</v>
      </c>
      <c r="C11" s="79" t="s">
        <v>9</v>
      </c>
      <c r="D11" s="82">
        <v>31</v>
      </c>
      <c r="I11" s="1">
        <v>34.200000000000003</v>
      </c>
      <c r="J11" s="2">
        <v>10</v>
      </c>
    </row>
    <row r="12" spans="1:18" x14ac:dyDescent="0.3">
      <c r="A12" s="9">
        <v>28</v>
      </c>
      <c r="C12" s="1" t="s">
        <v>10</v>
      </c>
      <c r="D12" s="2">
        <v>4.814739574651699</v>
      </c>
      <c r="I12" s="1">
        <v>36</v>
      </c>
      <c r="J12" s="2">
        <v>16</v>
      </c>
    </row>
    <row r="13" spans="1:18" x14ac:dyDescent="0.3">
      <c r="A13" s="9">
        <v>33</v>
      </c>
      <c r="C13" s="1" t="s">
        <v>11</v>
      </c>
      <c r="D13" s="2">
        <v>23.181717171717224</v>
      </c>
      <c r="I13" s="1">
        <v>37.799999999999997</v>
      </c>
      <c r="J13" s="2">
        <v>5</v>
      </c>
    </row>
    <row r="14" spans="1:18" x14ac:dyDescent="0.3">
      <c r="A14" s="9">
        <v>38</v>
      </c>
      <c r="C14" s="1" t="s">
        <v>12</v>
      </c>
      <c r="D14" s="2">
        <v>-0.92902084096665272</v>
      </c>
      <c r="I14" s="1">
        <v>39.6</v>
      </c>
      <c r="J14" s="2">
        <v>13</v>
      </c>
    </row>
    <row r="15" spans="1:18" x14ac:dyDescent="0.3">
      <c r="A15" s="9">
        <v>30</v>
      </c>
      <c r="C15" s="1" t="s">
        <v>13</v>
      </c>
      <c r="D15" s="2">
        <v>0.22180236398615402</v>
      </c>
      <c r="I15" s="1">
        <v>41.4</v>
      </c>
      <c r="J15" s="2">
        <v>10</v>
      </c>
    </row>
    <row r="16" spans="1:18" x14ac:dyDescent="0.3">
      <c r="A16" s="9">
        <v>41</v>
      </c>
      <c r="C16" s="79" t="s">
        <v>14</v>
      </c>
      <c r="D16" s="82">
        <v>18</v>
      </c>
      <c r="I16" s="1">
        <v>43.2</v>
      </c>
      <c r="J16" s="2">
        <v>5</v>
      </c>
    </row>
    <row r="17" spans="1:10" ht="15" thickBot="1" x14ac:dyDescent="0.35">
      <c r="A17" s="9">
        <v>37</v>
      </c>
      <c r="C17" s="1" t="s">
        <v>15</v>
      </c>
      <c r="D17" s="2">
        <v>27</v>
      </c>
      <c r="I17" s="3" t="s">
        <v>76</v>
      </c>
      <c r="J17" s="4">
        <v>5</v>
      </c>
    </row>
    <row r="18" spans="1:10" x14ac:dyDescent="0.3">
      <c r="A18" s="9">
        <v>31</v>
      </c>
      <c r="C18" s="1" t="s">
        <v>16</v>
      </c>
      <c r="D18" s="2">
        <v>45</v>
      </c>
    </row>
    <row r="19" spans="1:10" x14ac:dyDescent="0.3">
      <c r="A19" s="9">
        <v>34</v>
      </c>
      <c r="C19" s="1" t="s">
        <v>17</v>
      </c>
      <c r="D19" s="2">
        <v>3499</v>
      </c>
    </row>
    <row r="20" spans="1:10" ht="15" thickBot="1" x14ac:dyDescent="0.35">
      <c r="A20" s="9">
        <v>29</v>
      </c>
      <c r="C20" s="3" t="s">
        <v>18</v>
      </c>
      <c r="D20" s="4">
        <v>100</v>
      </c>
    </row>
    <row r="21" spans="1:10" x14ac:dyDescent="0.3">
      <c r="A21" s="9">
        <v>36</v>
      </c>
    </row>
    <row r="22" spans="1:10" x14ac:dyDescent="0.3">
      <c r="A22" s="9">
        <v>43</v>
      </c>
    </row>
    <row r="23" spans="1:10" x14ac:dyDescent="0.3">
      <c r="A23" s="9">
        <v>39</v>
      </c>
    </row>
    <row r="24" spans="1:10" x14ac:dyDescent="0.3">
      <c r="A24" s="9">
        <v>27</v>
      </c>
    </row>
    <row r="25" spans="1:10" x14ac:dyDescent="0.3">
      <c r="A25" s="9">
        <v>35</v>
      </c>
    </row>
    <row r="26" spans="1:10" x14ac:dyDescent="0.3">
      <c r="A26" s="9">
        <v>31</v>
      </c>
    </row>
    <row r="27" spans="1:10" x14ac:dyDescent="0.3">
      <c r="A27" s="9">
        <v>39</v>
      </c>
    </row>
    <row r="28" spans="1:10" x14ac:dyDescent="0.3">
      <c r="A28" s="9">
        <v>45</v>
      </c>
    </row>
    <row r="29" spans="1:10" x14ac:dyDescent="0.3">
      <c r="A29" s="9">
        <v>29</v>
      </c>
    </row>
    <row r="30" spans="1:10" x14ac:dyDescent="0.3">
      <c r="A30" s="9">
        <v>33</v>
      </c>
    </row>
    <row r="31" spans="1:10" x14ac:dyDescent="0.3">
      <c r="A31" s="9">
        <v>37</v>
      </c>
    </row>
    <row r="32" spans="1:10" x14ac:dyDescent="0.3">
      <c r="A32" s="9">
        <v>40</v>
      </c>
    </row>
    <row r="33" spans="1:1" x14ac:dyDescent="0.3">
      <c r="A33" s="9">
        <v>36</v>
      </c>
    </row>
    <row r="34" spans="1:1" x14ac:dyDescent="0.3">
      <c r="A34" s="9">
        <v>29</v>
      </c>
    </row>
    <row r="35" spans="1:1" x14ac:dyDescent="0.3">
      <c r="A35" s="9">
        <v>31</v>
      </c>
    </row>
    <row r="36" spans="1:1" x14ac:dyDescent="0.3">
      <c r="A36" s="9">
        <v>38</v>
      </c>
    </row>
    <row r="37" spans="1:1" x14ac:dyDescent="0.3">
      <c r="A37" s="9">
        <v>35</v>
      </c>
    </row>
    <row r="38" spans="1:1" x14ac:dyDescent="0.3">
      <c r="A38" s="9">
        <v>44</v>
      </c>
    </row>
    <row r="39" spans="1:1" x14ac:dyDescent="0.3">
      <c r="A39" s="9">
        <v>32</v>
      </c>
    </row>
    <row r="40" spans="1:1" x14ac:dyDescent="0.3">
      <c r="A40" s="9">
        <v>39</v>
      </c>
    </row>
    <row r="41" spans="1:1" x14ac:dyDescent="0.3">
      <c r="A41" s="9">
        <v>36</v>
      </c>
    </row>
    <row r="42" spans="1:1" x14ac:dyDescent="0.3">
      <c r="A42" s="9">
        <v>30</v>
      </c>
    </row>
    <row r="43" spans="1:1" x14ac:dyDescent="0.3">
      <c r="A43" s="9">
        <v>33</v>
      </c>
    </row>
    <row r="44" spans="1:1" x14ac:dyDescent="0.3">
      <c r="A44" s="9">
        <v>28</v>
      </c>
    </row>
    <row r="45" spans="1:1" x14ac:dyDescent="0.3">
      <c r="A45" s="9">
        <v>41</v>
      </c>
    </row>
    <row r="46" spans="1:1" x14ac:dyDescent="0.3">
      <c r="A46" s="9">
        <v>35</v>
      </c>
    </row>
    <row r="47" spans="1:1" x14ac:dyDescent="0.3">
      <c r="A47" s="9">
        <v>31</v>
      </c>
    </row>
    <row r="48" spans="1:1" x14ac:dyDescent="0.3">
      <c r="A48" s="9">
        <v>37</v>
      </c>
    </row>
    <row r="49" spans="1:1" x14ac:dyDescent="0.3">
      <c r="A49" s="9">
        <v>42</v>
      </c>
    </row>
    <row r="50" spans="1:1" x14ac:dyDescent="0.3">
      <c r="A50" s="9">
        <v>29</v>
      </c>
    </row>
    <row r="51" spans="1:1" x14ac:dyDescent="0.3">
      <c r="A51" s="9">
        <v>34</v>
      </c>
    </row>
    <row r="52" spans="1:1" x14ac:dyDescent="0.3">
      <c r="A52" s="9">
        <v>40</v>
      </c>
    </row>
    <row r="53" spans="1:1" x14ac:dyDescent="0.3">
      <c r="A53" s="9">
        <v>31</v>
      </c>
    </row>
    <row r="54" spans="1:1" x14ac:dyDescent="0.3">
      <c r="A54" s="9">
        <v>33</v>
      </c>
    </row>
    <row r="55" spans="1:1" x14ac:dyDescent="0.3">
      <c r="A55" s="9">
        <v>38</v>
      </c>
    </row>
    <row r="56" spans="1:1" x14ac:dyDescent="0.3">
      <c r="A56" s="9">
        <v>36</v>
      </c>
    </row>
    <row r="57" spans="1:1" x14ac:dyDescent="0.3">
      <c r="A57" s="9">
        <v>39</v>
      </c>
    </row>
    <row r="58" spans="1:1" x14ac:dyDescent="0.3">
      <c r="A58" s="9">
        <v>27</v>
      </c>
    </row>
    <row r="59" spans="1:1" x14ac:dyDescent="0.3">
      <c r="A59" s="9">
        <v>35</v>
      </c>
    </row>
    <row r="60" spans="1:1" x14ac:dyDescent="0.3">
      <c r="A60" s="9">
        <v>30</v>
      </c>
    </row>
    <row r="61" spans="1:1" x14ac:dyDescent="0.3">
      <c r="A61" s="9">
        <v>43</v>
      </c>
    </row>
    <row r="62" spans="1:1" x14ac:dyDescent="0.3">
      <c r="A62" s="9">
        <v>29</v>
      </c>
    </row>
    <row r="63" spans="1:1" x14ac:dyDescent="0.3">
      <c r="A63" s="9">
        <v>32</v>
      </c>
    </row>
    <row r="64" spans="1:1" x14ac:dyDescent="0.3">
      <c r="A64" s="9">
        <v>36</v>
      </c>
    </row>
    <row r="65" spans="1:1" x14ac:dyDescent="0.3">
      <c r="A65" s="9">
        <v>31</v>
      </c>
    </row>
    <row r="66" spans="1:1" x14ac:dyDescent="0.3">
      <c r="A66" s="9">
        <v>40</v>
      </c>
    </row>
    <row r="67" spans="1:1" x14ac:dyDescent="0.3">
      <c r="A67" s="9">
        <v>38</v>
      </c>
    </row>
    <row r="68" spans="1:1" x14ac:dyDescent="0.3">
      <c r="A68" s="9">
        <v>44</v>
      </c>
    </row>
    <row r="69" spans="1:1" x14ac:dyDescent="0.3">
      <c r="A69" s="9">
        <v>37</v>
      </c>
    </row>
    <row r="70" spans="1:1" x14ac:dyDescent="0.3">
      <c r="A70" s="9">
        <v>33</v>
      </c>
    </row>
    <row r="71" spans="1:1" x14ac:dyDescent="0.3">
      <c r="A71" s="9">
        <v>35</v>
      </c>
    </row>
    <row r="72" spans="1:1" x14ac:dyDescent="0.3">
      <c r="A72" s="9">
        <v>41</v>
      </c>
    </row>
    <row r="73" spans="1:1" x14ac:dyDescent="0.3">
      <c r="A73" s="9">
        <v>30</v>
      </c>
    </row>
    <row r="74" spans="1:1" x14ac:dyDescent="0.3">
      <c r="A74" s="9">
        <v>31</v>
      </c>
    </row>
    <row r="75" spans="1:1" x14ac:dyDescent="0.3">
      <c r="A75" s="9">
        <v>39</v>
      </c>
    </row>
    <row r="76" spans="1:1" x14ac:dyDescent="0.3">
      <c r="A76" s="9">
        <v>28</v>
      </c>
    </row>
    <row r="77" spans="1:1" x14ac:dyDescent="0.3">
      <c r="A77" s="9">
        <v>45</v>
      </c>
    </row>
    <row r="78" spans="1:1" x14ac:dyDescent="0.3">
      <c r="A78" s="9">
        <v>29</v>
      </c>
    </row>
    <row r="79" spans="1:1" x14ac:dyDescent="0.3">
      <c r="A79" s="9">
        <v>33</v>
      </c>
    </row>
    <row r="80" spans="1:1" x14ac:dyDescent="0.3">
      <c r="A80" s="9">
        <v>38</v>
      </c>
    </row>
    <row r="81" spans="1:1" x14ac:dyDescent="0.3">
      <c r="A81" s="9">
        <v>34</v>
      </c>
    </row>
    <row r="82" spans="1:1" x14ac:dyDescent="0.3">
      <c r="A82" s="9">
        <v>32</v>
      </c>
    </row>
    <row r="83" spans="1:1" x14ac:dyDescent="0.3">
      <c r="A83" s="9">
        <v>35</v>
      </c>
    </row>
    <row r="84" spans="1:1" x14ac:dyDescent="0.3">
      <c r="A84" s="9">
        <v>31</v>
      </c>
    </row>
    <row r="85" spans="1:1" x14ac:dyDescent="0.3">
      <c r="A85" s="9">
        <v>40</v>
      </c>
    </row>
    <row r="86" spans="1:1" x14ac:dyDescent="0.3">
      <c r="A86" s="9">
        <v>36</v>
      </c>
    </row>
    <row r="87" spans="1:1" x14ac:dyDescent="0.3">
      <c r="A87" s="9">
        <v>39</v>
      </c>
    </row>
    <row r="88" spans="1:1" x14ac:dyDescent="0.3">
      <c r="A88" s="9">
        <v>27</v>
      </c>
    </row>
    <row r="89" spans="1:1" x14ac:dyDescent="0.3">
      <c r="A89" s="9">
        <v>35</v>
      </c>
    </row>
    <row r="90" spans="1:1" x14ac:dyDescent="0.3">
      <c r="A90" s="9">
        <v>30</v>
      </c>
    </row>
    <row r="91" spans="1:1" x14ac:dyDescent="0.3">
      <c r="A91" s="9">
        <v>43</v>
      </c>
    </row>
    <row r="92" spans="1:1" x14ac:dyDescent="0.3">
      <c r="A92" s="9">
        <v>29</v>
      </c>
    </row>
    <row r="93" spans="1:1" x14ac:dyDescent="0.3">
      <c r="A93" s="9">
        <v>32</v>
      </c>
    </row>
    <row r="94" spans="1:1" x14ac:dyDescent="0.3">
      <c r="A94" s="9">
        <v>36</v>
      </c>
    </row>
    <row r="95" spans="1:1" x14ac:dyDescent="0.3">
      <c r="A95" s="9">
        <v>31</v>
      </c>
    </row>
    <row r="96" spans="1:1" x14ac:dyDescent="0.3">
      <c r="A96" s="9">
        <v>40</v>
      </c>
    </row>
    <row r="97" spans="1:1" x14ac:dyDescent="0.3">
      <c r="A97" s="9">
        <v>38</v>
      </c>
    </row>
    <row r="98" spans="1:1" x14ac:dyDescent="0.3">
      <c r="A98" s="9">
        <v>44</v>
      </c>
    </row>
    <row r="99" spans="1:1" x14ac:dyDescent="0.3">
      <c r="A99" s="9">
        <v>37</v>
      </c>
    </row>
    <row r="100" spans="1:1" x14ac:dyDescent="0.3">
      <c r="A100" s="9">
        <v>33</v>
      </c>
    </row>
    <row r="101" spans="1:1" x14ac:dyDescent="0.3">
      <c r="A101" s="9">
        <v>35</v>
      </c>
    </row>
    <row r="102" spans="1:1" x14ac:dyDescent="0.3">
      <c r="A102" s="9">
        <v>41</v>
      </c>
    </row>
    <row r="103" spans="1:1" x14ac:dyDescent="0.3">
      <c r="A103" s="9">
        <v>30</v>
      </c>
    </row>
    <row r="104" spans="1:1" x14ac:dyDescent="0.3">
      <c r="A104" s="9">
        <v>31</v>
      </c>
    </row>
    <row r="105" spans="1:1" x14ac:dyDescent="0.3">
      <c r="A105" s="9">
        <v>39</v>
      </c>
    </row>
    <row r="106" spans="1:1" ht="15" thickBot="1" x14ac:dyDescent="0.35">
      <c r="A106" s="10">
        <v>28</v>
      </c>
    </row>
  </sheetData>
  <mergeCells count="1">
    <mergeCell ref="I5:J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K7" sqref="K7"/>
    </sheetView>
  </sheetViews>
  <sheetFormatPr defaultRowHeight="14.4" x14ac:dyDescent="0.3"/>
  <cols>
    <col min="1" max="1" width="10.21875" bestFit="1" customWidth="1"/>
    <col min="11" max="11" width="10.44140625" bestFit="1" customWidth="1"/>
  </cols>
  <sheetData>
    <row r="1" spans="1:11" ht="15" thickBot="1" x14ac:dyDescent="0.35"/>
    <row r="2" spans="1:11" ht="15" thickBot="1" x14ac:dyDescent="0.35">
      <c r="A2" s="81" t="s">
        <v>86</v>
      </c>
      <c r="B2" s="87" t="s">
        <v>87</v>
      </c>
      <c r="D2" s="90" t="s">
        <v>75</v>
      </c>
      <c r="E2" s="90" t="s">
        <v>77</v>
      </c>
    </row>
    <row r="3" spans="1:11" x14ac:dyDescent="0.3">
      <c r="A3" s="1" t="s">
        <v>79</v>
      </c>
      <c r="B3" s="2">
        <v>30</v>
      </c>
      <c r="D3">
        <v>10</v>
      </c>
      <c r="E3">
        <v>1</v>
      </c>
    </row>
    <row r="4" spans="1:11" x14ac:dyDescent="0.3">
      <c r="A4" s="1" t="s">
        <v>80</v>
      </c>
      <c r="B4" s="2">
        <v>40</v>
      </c>
      <c r="D4">
        <v>27.5</v>
      </c>
      <c r="E4">
        <v>2</v>
      </c>
    </row>
    <row r="5" spans="1:11" ht="15" thickBot="1" x14ac:dyDescent="0.35">
      <c r="A5" s="1" t="s">
        <v>81</v>
      </c>
      <c r="B5" s="2">
        <v>20</v>
      </c>
      <c r="D5" s="29" t="s">
        <v>76</v>
      </c>
      <c r="E5" s="29">
        <v>4</v>
      </c>
    </row>
    <row r="6" spans="1:11" x14ac:dyDescent="0.3">
      <c r="A6" s="1" t="s">
        <v>82</v>
      </c>
      <c r="B6" s="2">
        <v>10</v>
      </c>
    </row>
    <row r="7" spans="1:11" x14ac:dyDescent="0.3">
      <c r="A7" s="99" t="s">
        <v>83</v>
      </c>
      <c r="B7" s="100">
        <v>45</v>
      </c>
      <c r="K7" s="101" t="s">
        <v>89</v>
      </c>
    </row>
    <row r="8" spans="1:11" x14ac:dyDescent="0.3">
      <c r="A8" s="1" t="s">
        <v>84</v>
      </c>
      <c r="B8" s="2">
        <v>25</v>
      </c>
    </row>
    <row r="9" spans="1:11" ht="15" thickBot="1" x14ac:dyDescent="0.35">
      <c r="A9" s="3" t="s">
        <v>85</v>
      </c>
      <c r="B9" s="4">
        <v>30</v>
      </c>
    </row>
    <row r="11" spans="1:11" x14ac:dyDescent="0.3">
      <c r="A11" s="136" t="s">
        <v>88</v>
      </c>
      <c r="B11" s="136"/>
      <c r="C11" s="136"/>
    </row>
  </sheetData>
  <mergeCells count="1">
    <mergeCell ref="A11:C1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E106"/>
  <sheetViews>
    <sheetView workbookViewId="0">
      <selection activeCell="A5" sqref="A5:A106"/>
    </sheetView>
  </sheetViews>
  <sheetFormatPr defaultRowHeight="14.4" x14ac:dyDescent="0.3"/>
  <sheetData>
    <row r="4" spans="1:5" ht="15" thickBot="1" x14ac:dyDescent="0.35"/>
    <row r="5" spans="1:5" ht="15" thickBot="1" x14ac:dyDescent="0.35">
      <c r="A5" s="91" t="s">
        <v>90</v>
      </c>
    </row>
    <row r="6" spans="1:5" ht="15" thickBot="1" x14ac:dyDescent="0.35">
      <c r="A6" s="9">
        <v>4</v>
      </c>
      <c r="B6" s="92" t="s">
        <v>75</v>
      </c>
      <c r="C6" s="93" t="s">
        <v>77</v>
      </c>
    </row>
    <row r="7" spans="1:5" ht="15" thickBot="1" x14ac:dyDescent="0.35">
      <c r="A7" s="9">
        <v>5</v>
      </c>
      <c r="B7" s="1">
        <v>2</v>
      </c>
      <c r="C7" s="2">
        <v>10</v>
      </c>
    </row>
    <row r="8" spans="1:5" x14ac:dyDescent="0.3">
      <c r="A8" s="9">
        <v>3</v>
      </c>
      <c r="B8" s="1">
        <v>2.2999999999999998</v>
      </c>
      <c r="C8" s="2">
        <v>0</v>
      </c>
      <c r="E8" s="12" t="s">
        <v>70</v>
      </c>
    </row>
    <row r="9" spans="1:5" ht="15" thickBot="1" x14ac:dyDescent="0.35">
      <c r="A9" s="9">
        <v>4</v>
      </c>
      <c r="B9" s="1">
        <v>2.6</v>
      </c>
      <c r="C9" s="2">
        <v>0</v>
      </c>
      <c r="E9" s="102">
        <f>MODE(A6:A106)</f>
        <v>4</v>
      </c>
    </row>
    <row r="10" spans="1:5" x14ac:dyDescent="0.3">
      <c r="A10" s="9">
        <v>4</v>
      </c>
      <c r="B10" s="1">
        <v>2.9</v>
      </c>
      <c r="C10" s="2">
        <v>0</v>
      </c>
    </row>
    <row r="11" spans="1:5" x14ac:dyDescent="0.3">
      <c r="A11" s="9">
        <v>3</v>
      </c>
      <c r="B11" s="1">
        <v>3.2</v>
      </c>
      <c r="C11" s="2">
        <v>30</v>
      </c>
    </row>
    <row r="12" spans="1:5" x14ac:dyDescent="0.3">
      <c r="A12" s="9">
        <v>2</v>
      </c>
      <c r="B12" s="1">
        <v>3.5</v>
      </c>
      <c r="C12" s="2">
        <v>0</v>
      </c>
    </row>
    <row r="13" spans="1:5" x14ac:dyDescent="0.3">
      <c r="A13" s="9">
        <v>5</v>
      </c>
      <c r="B13" s="1">
        <v>3.8</v>
      </c>
      <c r="C13" s="2">
        <v>0</v>
      </c>
    </row>
    <row r="14" spans="1:5" x14ac:dyDescent="0.3">
      <c r="A14" s="9">
        <v>4</v>
      </c>
      <c r="B14" s="1">
        <v>4.0999999999999996</v>
      </c>
      <c r="C14" s="2">
        <v>39</v>
      </c>
    </row>
    <row r="15" spans="1:5" x14ac:dyDescent="0.3">
      <c r="A15" s="9">
        <v>3</v>
      </c>
      <c r="B15" s="1">
        <v>4.4000000000000004</v>
      </c>
      <c r="C15" s="2">
        <v>0</v>
      </c>
    </row>
    <row r="16" spans="1:5" x14ac:dyDescent="0.3">
      <c r="A16" s="9">
        <v>5</v>
      </c>
      <c r="B16" s="1">
        <v>4.6999999999999993</v>
      </c>
      <c r="C16" s="2">
        <v>0</v>
      </c>
    </row>
    <row r="17" spans="1:3" ht="15" thickBot="1" x14ac:dyDescent="0.35">
      <c r="A17" s="9">
        <v>4</v>
      </c>
      <c r="B17" s="3" t="s">
        <v>76</v>
      </c>
      <c r="C17" s="4">
        <v>22</v>
      </c>
    </row>
    <row r="18" spans="1:3" x14ac:dyDescent="0.3">
      <c r="A18" s="9">
        <v>2</v>
      </c>
    </row>
    <row r="19" spans="1:3" x14ac:dyDescent="0.3">
      <c r="A19" s="9">
        <v>3</v>
      </c>
    </row>
    <row r="20" spans="1:3" x14ac:dyDescent="0.3">
      <c r="A20" s="9">
        <v>4</v>
      </c>
    </row>
    <row r="21" spans="1:3" x14ac:dyDescent="0.3">
      <c r="A21" s="9">
        <v>5</v>
      </c>
    </row>
    <row r="22" spans="1:3" x14ac:dyDescent="0.3">
      <c r="A22" s="9">
        <v>3</v>
      </c>
    </row>
    <row r="23" spans="1:3" x14ac:dyDescent="0.3">
      <c r="A23" s="9">
        <v>4</v>
      </c>
    </row>
    <row r="24" spans="1:3" x14ac:dyDescent="0.3">
      <c r="A24" s="9">
        <v>5</v>
      </c>
    </row>
    <row r="25" spans="1:3" x14ac:dyDescent="0.3">
      <c r="A25" s="9">
        <v>3</v>
      </c>
    </row>
    <row r="26" spans="1:3" x14ac:dyDescent="0.3">
      <c r="A26" s="9">
        <v>4</v>
      </c>
    </row>
    <row r="27" spans="1:3" x14ac:dyDescent="0.3">
      <c r="A27" s="9">
        <v>3</v>
      </c>
    </row>
    <row r="28" spans="1:3" x14ac:dyDescent="0.3">
      <c r="A28" s="9">
        <v>2</v>
      </c>
    </row>
    <row r="29" spans="1:3" x14ac:dyDescent="0.3">
      <c r="A29" s="9">
        <v>4</v>
      </c>
    </row>
    <row r="30" spans="1:3" x14ac:dyDescent="0.3">
      <c r="A30" s="9">
        <v>5</v>
      </c>
    </row>
    <row r="31" spans="1:3" x14ac:dyDescent="0.3">
      <c r="A31" s="9">
        <v>3</v>
      </c>
    </row>
    <row r="32" spans="1:3" x14ac:dyDescent="0.3">
      <c r="A32" s="9">
        <v>4</v>
      </c>
    </row>
    <row r="33" spans="1:1" x14ac:dyDescent="0.3">
      <c r="A33" s="9">
        <v>5</v>
      </c>
    </row>
    <row r="34" spans="1:1" x14ac:dyDescent="0.3">
      <c r="A34" s="9">
        <v>4</v>
      </c>
    </row>
    <row r="35" spans="1:1" x14ac:dyDescent="0.3">
      <c r="A35" s="9">
        <v>3</v>
      </c>
    </row>
    <row r="36" spans="1:1" x14ac:dyDescent="0.3">
      <c r="A36" s="9">
        <v>3</v>
      </c>
    </row>
    <row r="37" spans="1:1" x14ac:dyDescent="0.3">
      <c r="A37" s="9">
        <v>4</v>
      </c>
    </row>
    <row r="38" spans="1:1" x14ac:dyDescent="0.3">
      <c r="A38" s="9">
        <v>5</v>
      </c>
    </row>
    <row r="39" spans="1:1" x14ac:dyDescent="0.3">
      <c r="A39" s="9">
        <v>2</v>
      </c>
    </row>
    <row r="40" spans="1:1" x14ac:dyDescent="0.3">
      <c r="A40" s="9">
        <v>3</v>
      </c>
    </row>
    <row r="41" spans="1:1" x14ac:dyDescent="0.3">
      <c r="A41" s="9">
        <v>4</v>
      </c>
    </row>
    <row r="42" spans="1:1" x14ac:dyDescent="0.3">
      <c r="A42" s="9">
        <v>4</v>
      </c>
    </row>
    <row r="43" spans="1:1" x14ac:dyDescent="0.3">
      <c r="A43" s="9">
        <v>3</v>
      </c>
    </row>
    <row r="44" spans="1:1" x14ac:dyDescent="0.3">
      <c r="A44" s="9">
        <v>5</v>
      </c>
    </row>
    <row r="45" spans="1:1" x14ac:dyDescent="0.3">
      <c r="A45" s="9">
        <v>4</v>
      </c>
    </row>
    <row r="46" spans="1:1" x14ac:dyDescent="0.3">
      <c r="A46" s="9">
        <v>3</v>
      </c>
    </row>
    <row r="47" spans="1:1" x14ac:dyDescent="0.3">
      <c r="A47" s="9">
        <v>4</v>
      </c>
    </row>
    <row r="48" spans="1:1" x14ac:dyDescent="0.3">
      <c r="A48" s="9">
        <v>5</v>
      </c>
    </row>
    <row r="49" spans="1:1" x14ac:dyDescent="0.3">
      <c r="A49" s="9">
        <v>4</v>
      </c>
    </row>
    <row r="50" spans="1:1" x14ac:dyDescent="0.3">
      <c r="A50" s="9">
        <v>2</v>
      </c>
    </row>
    <row r="51" spans="1:1" x14ac:dyDescent="0.3">
      <c r="A51" s="9">
        <v>3</v>
      </c>
    </row>
    <row r="52" spans="1:1" x14ac:dyDescent="0.3">
      <c r="A52" s="9">
        <v>4</v>
      </c>
    </row>
    <row r="53" spans="1:1" x14ac:dyDescent="0.3">
      <c r="A53" s="9">
        <v>5</v>
      </c>
    </row>
    <row r="54" spans="1:1" x14ac:dyDescent="0.3">
      <c r="A54" s="9">
        <v>4</v>
      </c>
    </row>
    <row r="55" spans="1:1" x14ac:dyDescent="0.3">
      <c r="A55" s="9">
        <v>3</v>
      </c>
    </row>
    <row r="56" spans="1:1" x14ac:dyDescent="0.3">
      <c r="A56" s="9">
        <v>3</v>
      </c>
    </row>
    <row r="57" spans="1:1" x14ac:dyDescent="0.3">
      <c r="A57" s="9">
        <v>4</v>
      </c>
    </row>
    <row r="58" spans="1:1" x14ac:dyDescent="0.3">
      <c r="A58" s="9">
        <v>5</v>
      </c>
    </row>
    <row r="59" spans="1:1" x14ac:dyDescent="0.3">
      <c r="A59" s="9">
        <v>2</v>
      </c>
    </row>
    <row r="60" spans="1:1" x14ac:dyDescent="0.3">
      <c r="A60" s="9">
        <v>3</v>
      </c>
    </row>
    <row r="61" spans="1:1" x14ac:dyDescent="0.3">
      <c r="A61" s="9">
        <v>4</v>
      </c>
    </row>
    <row r="62" spans="1:1" x14ac:dyDescent="0.3">
      <c r="A62" s="9">
        <v>4</v>
      </c>
    </row>
    <row r="63" spans="1:1" x14ac:dyDescent="0.3">
      <c r="A63" s="9">
        <v>3</v>
      </c>
    </row>
    <row r="64" spans="1:1" x14ac:dyDescent="0.3">
      <c r="A64" s="9">
        <v>5</v>
      </c>
    </row>
    <row r="65" spans="1:1" x14ac:dyDescent="0.3">
      <c r="A65" s="9">
        <v>4</v>
      </c>
    </row>
    <row r="66" spans="1:1" x14ac:dyDescent="0.3">
      <c r="A66" s="9">
        <v>3</v>
      </c>
    </row>
    <row r="67" spans="1:1" x14ac:dyDescent="0.3">
      <c r="A67" s="9">
        <v>4</v>
      </c>
    </row>
    <row r="68" spans="1:1" x14ac:dyDescent="0.3">
      <c r="A68" s="9">
        <v>5</v>
      </c>
    </row>
    <row r="69" spans="1:1" x14ac:dyDescent="0.3">
      <c r="A69" s="9">
        <v>4</v>
      </c>
    </row>
    <row r="70" spans="1:1" x14ac:dyDescent="0.3">
      <c r="A70" s="9">
        <v>3</v>
      </c>
    </row>
    <row r="71" spans="1:1" x14ac:dyDescent="0.3">
      <c r="A71" s="9">
        <v>4</v>
      </c>
    </row>
    <row r="72" spans="1:1" x14ac:dyDescent="0.3">
      <c r="A72" s="9">
        <v>5</v>
      </c>
    </row>
    <row r="73" spans="1:1" x14ac:dyDescent="0.3">
      <c r="A73" s="9">
        <v>2</v>
      </c>
    </row>
    <row r="74" spans="1:1" x14ac:dyDescent="0.3">
      <c r="A74" s="9">
        <v>4</v>
      </c>
    </row>
    <row r="75" spans="1:1" x14ac:dyDescent="0.3">
      <c r="A75" s="9">
        <v>5</v>
      </c>
    </row>
    <row r="76" spans="1:1" x14ac:dyDescent="0.3">
      <c r="A76" s="9">
        <v>4</v>
      </c>
    </row>
    <row r="77" spans="1:1" x14ac:dyDescent="0.3">
      <c r="A77" s="9">
        <v>3</v>
      </c>
    </row>
    <row r="78" spans="1:1" x14ac:dyDescent="0.3">
      <c r="A78" s="9">
        <v>4</v>
      </c>
    </row>
    <row r="79" spans="1:1" x14ac:dyDescent="0.3">
      <c r="A79" s="9">
        <v>5</v>
      </c>
    </row>
    <row r="80" spans="1:1" x14ac:dyDescent="0.3">
      <c r="A80" s="9">
        <v>3</v>
      </c>
    </row>
    <row r="81" spans="1:1" x14ac:dyDescent="0.3">
      <c r="A81" s="9">
        <v>4</v>
      </c>
    </row>
    <row r="82" spans="1:1" x14ac:dyDescent="0.3">
      <c r="A82" s="9">
        <v>5</v>
      </c>
    </row>
    <row r="83" spans="1:1" x14ac:dyDescent="0.3">
      <c r="A83" s="9">
        <v>4</v>
      </c>
    </row>
    <row r="84" spans="1:1" x14ac:dyDescent="0.3">
      <c r="A84" s="9">
        <v>3</v>
      </c>
    </row>
    <row r="85" spans="1:1" x14ac:dyDescent="0.3">
      <c r="A85" s="9">
        <v>3</v>
      </c>
    </row>
    <row r="86" spans="1:1" x14ac:dyDescent="0.3">
      <c r="A86" s="9">
        <v>4</v>
      </c>
    </row>
    <row r="87" spans="1:1" x14ac:dyDescent="0.3">
      <c r="A87" s="9">
        <v>5</v>
      </c>
    </row>
    <row r="88" spans="1:1" x14ac:dyDescent="0.3">
      <c r="A88" s="9">
        <v>2</v>
      </c>
    </row>
    <row r="89" spans="1:1" x14ac:dyDescent="0.3">
      <c r="A89" s="9">
        <v>3</v>
      </c>
    </row>
    <row r="90" spans="1:1" x14ac:dyDescent="0.3">
      <c r="A90" s="9">
        <v>4</v>
      </c>
    </row>
    <row r="91" spans="1:1" x14ac:dyDescent="0.3">
      <c r="A91" s="9">
        <v>4</v>
      </c>
    </row>
    <row r="92" spans="1:1" x14ac:dyDescent="0.3">
      <c r="A92" s="9">
        <v>3</v>
      </c>
    </row>
    <row r="93" spans="1:1" x14ac:dyDescent="0.3">
      <c r="A93" s="9">
        <v>5</v>
      </c>
    </row>
    <row r="94" spans="1:1" x14ac:dyDescent="0.3">
      <c r="A94" s="9">
        <v>4</v>
      </c>
    </row>
    <row r="95" spans="1:1" x14ac:dyDescent="0.3">
      <c r="A95" s="9">
        <v>3</v>
      </c>
    </row>
    <row r="96" spans="1:1" x14ac:dyDescent="0.3">
      <c r="A96" s="9">
        <v>4</v>
      </c>
    </row>
    <row r="97" spans="1:1" x14ac:dyDescent="0.3">
      <c r="A97" s="9">
        <v>3</v>
      </c>
    </row>
    <row r="98" spans="1:1" x14ac:dyDescent="0.3">
      <c r="A98" s="9">
        <v>4</v>
      </c>
    </row>
    <row r="99" spans="1:1" x14ac:dyDescent="0.3">
      <c r="A99" s="9">
        <v>2</v>
      </c>
    </row>
    <row r="100" spans="1:1" x14ac:dyDescent="0.3">
      <c r="A100" s="9">
        <v>3</v>
      </c>
    </row>
    <row r="101" spans="1:1" x14ac:dyDescent="0.3">
      <c r="A101" s="9">
        <v>4</v>
      </c>
    </row>
    <row r="102" spans="1:1" x14ac:dyDescent="0.3">
      <c r="A102" s="9">
        <v>5</v>
      </c>
    </row>
    <row r="103" spans="1:1" x14ac:dyDescent="0.3">
      <c r="A103" s="9">
        <v>3</v>
      </c>
    </row>
    <row r="104" spans="1:1" x14ac:dyDescent="0.3">
      <c r="A104" s="9">
        <v>4</v>
      </c>
    </row>
    <row r="105" spans="1:1" x14ac:dyDescent="0.3">
      <c r="A105" s="9">
        <v>5</v>
      </c>
    </row>
    <row r="106" spans="1:1" ht="15" thickBot="1" x14ac:dyDescent="0.35">
      <c r="A106" s="10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54"/>
  <sheetViews>
    <sheetView workbookViewId="0">
      <selection activeCell="D12" sqref="D12"/>
    </sheetView>
  </sheetViews>
  <sheetFormatPr defaultRowHeight="14.4" x14ac:dyDescent="0.3"/>
  <cols>
    <col min="1" max="1" width="12.21875" bestFit="1" customWidth="1"/>
  </cols>
  <sheetData>
    <row r="2" spans="1:13" ht="18" x14ac:dyDescent="0.35">
      <c r="J2" s="137" t="s">
        <v>91</v>
      </c>
      <c r="K2" s="137"/>
      <c r="L2" s="137"/>
      <c r="M2" s="137"/>
    </row>
    <row r="3" spans="1:13" ht="15" thickBot="1" x14ac:dyDescent="0.35"/>
    <row r="4" spans="1:13" ht="15" thickBot="1" x14ac:dyDescent="0.35">
      <c r="A4" s="91" t="s">
        <v>92</v>
      </c>
    </row>
    <row r="5" spans="1:13" ht="15" thickBot="1" x14ac:dyDescent="0.35">
      <c r="A5" s="1">
        <v>35</v>
      </c>
      <c r="B5" s="92" t="s">
        <v>75</v>
      </c>
      <c r="C5" s="93" t="s">
        <v>77</v>
      </c>
      <c r="D5" s="103" t="s">
        <v>93</v>
      </c>
    </row>
    <row r="6" spans="1:13" ht="15" thickBot="1" x14ac:dyDescent="0.35">
      <c r="A6" s="1">
        <v>28</v>
      </c>
      <c r="B6" s="1">
        <v>28</v>
      </c>
      <c r="C6" s="2">
        <v>4</v>
      </c>
      <c r="D6" s="104">
        <f>AVERAGE(A5:A54)</f>
        <v>36.14</v>
      </c>
    </row>
    <row r="7" spans="1:13" x14ac:dyDescent="0.3">
      <c r="A7" s="1">
        <v>32</v>
      </c>
      <c r="B7" s="1">
        <v>30.714285714285715</v>
      </c>
      <c r="C7" s="2">
        <v>6</v>
      </c>
    </row>
    <row r="8" spans="1:13" x14ac:dyDescent="0.3">
      <c r="A8" s="1">
        <v>45</v>
      </c>
      <c r="B8" s="1">
        <v>33.428571428571431</v>
      </c>
      <c r="C8" s="2">
        <v>8</v>
      </c>
    </row>
    <row r="9" spans="1:13" x14ac:dyDescent="0.3">
      <c r="A9" s="1">
        <v>38</v>
      </c>
      <c r="B9" s="1">
        <v>36.142857142857139</v>
      </c>
      <c r="C9" s="2">
        <v>8</v>
      </c>
    </row>
    <row r="10" spans="1:13" x14ac:dyDescent="0.3">
      <c r="A10" s="1">
        <v>29</v>
      </c>
      <c r="B10" s="1">
        <v>38.857142857142861</v>
      </c>
      <c r="C10" s="2">
        <v>6</v>
      </c>
    </row>
    <row r="11" spans="1:13" x14ac:dyDescent="0.3">
      <c r="A11" s="1">
        <v>42</v>
      </c>
      <c r="B11" s="1">
        <v>41.571428571428569</v>
      </c>
      <c r="C11" s="2">
        <v>8</v>
      </c>
    </row>
    <row r="12" spans="1:13" x14ac:dyDescent="0.3">
      <c r="A12" s="1">
        <v>30</v>
      </c>
      <c r="B12" s="1">
        <v>44.285714285714285</v>
      </c>
      <c r="C12" s="2">
        <v>6</v>
      </c>
    </row>
    <row r="13" spans="1:13" ht="15" thickBot="1" x14ac:dyDescent="0.35">
      <c r="A13" s="1">
        <v>36</v>
      </c>
      <c r="B13" s="3" t="s">
        <v>76</v>
      </c>
      <c r="C13" s="4">
        <v>4</v>
      </c>
    </row>
    <row r="14" spans="1:13" x14ac:dyDescent="0.3">
      <c r="A14" s="9">
        <v>41</v>
      </c>
    </row>
    <row r="15" spans="1:13" x14ac:dyDescent="0.3">
      <c r="A15" s="9">
        <v>47</v>
      </c>
    </row>
    <row r="16" spans="1:13" x14ac:dyDescent="0.3">
      <c r="A16" s="9">
        <v>31</v>
      </c>
    </row>
    <row r="17" spans="1:1" x14ac:dyDescent="0.3">
      <c r="A17" s="9">
        <v>39</v>
      </c>
    </row>
    <row r="18" spans="1:1" x14ac:dyDescent="0.3">
      <c r="A18" s="9">
        <v>43</v>
      </c>
    </row>
    <row r="19" spans="1:1" x14ac:dyDescent="0.3">
      <c r="A19" s="9">
        <v>37</v>
      </c>
    </row>
    <row r="20" spans="1:1" x14ac:dyDescent="0.3">
      <c r="A20" s="9">
        <v>30</v>
      </c>
    </row>
    <row r="21" spans="1:1" x14ac:dyDescent="0.3">
      <c r="A21" s="9">
        <v>34</v>
      </c>
    </row>
    <row r="22" spans="1:1" x14ac:dyDescent="0.3">
      <c r="A22" s="9">
        <v>39</v>
      </c>
    </row>
    <row r="23" spans="1:1" x14ac:dyDescent="0.3">
      <c r="A23" s="9">
        <v>28</v>
      </c>
    </row>
    <row r="24" spans="1:1" x14ac:dyDescent="0.3">
      <c r="A24" s="9">
        <v>33</v>
      </c>
    </row>
    <row r="25" spans="1:1" x14ac:dyDescent="0.3">
      <c r="A25" s="9">
        <v>36</v>
      </c>
    </row>
    <row r="26" spans="1:1" x14ac:dyDescent="0.3">
      <c r="A26" s="9">
        <v>40</v>
      </c>
    </row>
    <row r="27" spans="1:1" x14ac:dyDescent="0.3">
      <c r="A27" s="9">
        <v>42</v>
      </c>
    </row>
    <row r="28" spans="1:1" x14ac:dyDescent="0.3">
      <c r="A28" s="9">
        <v>29</v>
      </c>
    </row>
    <row r="29" spans="1:1" x14ac:dyDescent="0.3">
      <c r="A29" s="9">
        <v>31</v>
      </c>
    </row>
    <row r="30" spans="1:1" x14ac:dyDescent="0.3">
      <c r="A30" s="9">
        <v>45</v>
      </c>
    </row>
    <row r="31" spans="1:1" x14ac:dyDescent="0.3">
      <c r="A31" s="9">
        <v>38</v>
      </c>
    </row>
    <row r="32" spans="1:1" x14ac:dyDescent="0.3">
      <c r="A32" s="9">
        <v>33</v>
      </c>
    </row>
    <row r="33" spans="1:1" x14ac:dyDescent="0.3">
      <c r="A33" s="9">
        <v>41</v>
      </c>
    </row>
    <row r="34" spans="1:1" x14ac:dyDescent="0.3">
      <c r="A34" s="9">
        <v>35</v>
      </c>
    </row>
    <row r="35" spans="1:1" x14ac:dyDescent="0.3">
      <c r="A35" s="9">
        <v>37</v>
      </c>
    </row>
    <row r="36" spans="1:1" x14ac:dyDescent="0.3">
      <c r="A36" s="9">
        <v>34</v>
      </c>
    </row>
    <row r="37" spans="1:1" x14ac:dyDescent="0.3">
      <c r="A37" s="9">
        <v>46</v>
      </c>
    </row>
    <row r="38" spans="1:1" x14ac:dyDescent="0.3">
      <c r="A38" s="9">
        <v>30</v>
      </c>
    </row>
    <row r="39" spans="1:1" x14ac:dyDescent="0.3">
      <c r="A39" s="9">
        <v>39</v>
      </c>
    </row>
    <row r="40" spans="1:1" x14ac:dyDescent="0.3">
      <c r="A40" s="9">
        <v>43</v>
      </c>
    </row>
    <row r="41" spans="1:1" x14ac:dyDescent="0.3">
      <c r="A41" s="9">
        <v>28</v>
      </c>
    </row>
    <row r="42" spans="1:1" x14ac:dyDescent="0.3">
      <c r="A42" s="9">
        <v>32</v>
      </c>
    </row>
    <row r="43" spans="1:1" x14ac:dyDescent="0.3">
      <c r="A43" s="9">
        <v>36</v>
      </c>
    </row>
    <row r="44" spans="1:1" x14ac:dyDescent="0.3">
      <c r="A44" s="9">
        <v>29</v>
      </c>
    </row>
    <row r="45" spans="1:1" x14ac:dyDescent="0.3">
      <c r="A45" s="9">
        <v>31</v>
      </c>
    </row>
    <row r="46" spans="1:1" x14ac:dyDescent="0.3">
      <c r="A46" s="9">
        <v>37</v>
      </c>
    </row>
    <row r="47" spans="1:1" x14ac:dyDescent="0.3">
      <c r="A47" s="9">
        <v>40</v>
      </c>
    </row>
    <row r="48" spans="1:1" x14ac:dyDescent="0.3">
      <c r="A48" s="9">
        <v>42</v>
      </c>
    </row>
    <row r="49" spans="1:1" x14ac:dyDescent="0.3">
      <c r="A49" s="9">
        <v>33</v>
      </c>
    </row>
    <row r="50" spans="1:1" x14ac:dyDescent="0.3">
      <c r="A50" s="9">
        <v>39</v>
      </c>
    </row>
    <row r="51" spans="1:1" x14ac:dyDescent="0.3">
      <c r="A51" s="9">
        <v>28</v>
      </c>
    </row>
    <row r="52" spans="1:1" x14ac:dyDescent="0.3">
      <c r="A52" s="9">
        <v>35</v>
      </c>
    </row>
    <row r="53" spans="1:1" x14ac:dyDescent="0.3">
      <c r="A53" s="9">
        <v>38</v>
      </c>
    </row>
    <row r="54" spans="1:1" ht="15" thickBot="1" x14ac:dyDescent="0.35">
      <c r="A54" s="10">
        <v>43</v>
      </c>
    </row>
  </sheetData>
  <mergeCells count="1">
    <mergeCell ref="J2:M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4"/>
  <sheetViews>
    <sheetView workbookViewId="0">
      <selection activeCell="D5" sqref="D5:D6"/>
    </sheetView>
  </sheetViews>
  <sheetFormatPr defaultRowHeight="14.4" x14ac:dyDescent="0.3"/>
  <cols>
    <col min="1" max="1" width="17.77734375" bestFit="1" customWidth="1"/>
  </cols>
  <sheetData>
    <row r="1" spans="1:16" ht="18" x14ac:dyDescent="0.35">
      <c r="I1" s="137" t="s">
        <v>95</v>
      </c>
      <c r="J1" s="137"/>
      <c r="K1" s="137"/>
      <c r="L1" s="137"/>
      <c r="M1" s="137"/>
      <c r="N1" s="137"/>
      <c r="O1" s="137"/>
      <c r="P1" s="137"/>
    </row>
    <row r="3" spans="1:16" ht="15" thickBot="1" x14ac:dyDescent="0.35"/>
    <row r="4" spans="1:16" ht="15" thickBot="1" x14ac:dyDescent="0.35">
      <c r="A4" s="91" t="s">
        <v>94</v>
      </c>
    </row>
    <row r="5" spans="1:16" ht="15" thickBot="1" x14ac:dyDescent="0.35">
      <c r="A5" s="9">
        <v>125</v>
      </c>
      <c r="B5" s="92" t="s">
        <v>75</v>
      </c>
      <c r="C5" s="93" t="s">
        <v>77</v>
      </c>
      <c r="D5" s="12" t="s">
        <v>34</v>
      </c>
    </row>
    <row r="6" spans="1:16" ht="15" thickBot="1" x14ac:dyDescent="0.35">
      <c r="A6" s="9">
        <v>148</v>
      </c>
      <c r="B6" s="1">
        <v>118</v>
      </c>
      <c r="C6" s="2">
        <v>1</v>
      </c>
      <c r="D6" s="102">
        <f>MEDIAN(A5:A84)</f>
        <v>130.5</v>
      </c>
    </row>
    <row r="7" spans="1:16" x14ac:dyDescent="0.3">
      <c r="A7" s="9">
        <v>137</v>
      </c>
      <c r="B7" s="1">
        <v>121.75</v>
      </c>
      <c r="C7" s="2">
        <v>4</v>
      </c>
    </row>
    <row r="8" spans="1:16" x14ac:dyDescent="0.3">
      <c r="A8" s="9">
        <v>120</v>
      </c>
      <c r="B8" s="1">
        <v>125.5</v>
      </c>
      <c r="C8" s="2">
        <v>16</v>
      </c>
    </row>
    <row r="9" spans="1:16" x14ac:dyDescent="0.3">
      <c r="A9" s="9">
        <v>135</v>
      </c>
      <c r="B9" s="1">
        <v>129.25</v>
      </c>
      <c r="C9" s="2">
        <v>12</v>
      </c>
    </row>
    <row r="10" spans="1:16" x14ac:dyDescent="0.3">
      <c r="A10" s="9">
        <v>132</v>
      </c>
      <c r="B10" s="1">
        <v>133</v>
      </c>
      <c r="C10" s="2">
        <v>22</v>
      </c>
    </row>
    <row r="11" spans="1:16" x14ac:dyDescent="0.3">
      <c r="A11" s="9">
        <v>145</v>
      </c>
      <c r="B11" s="1">
        <v>136.75</v>
      </c>
      <c r="C11" s="2">
        <v>14</v>
      </c>
    </row>
    <row r="12" spans="1:16" x14ac:dyDescent="0.3">
      <c r="A12" s="9">
        <v>122</v>
      </c>
      <c r="B12" s="1">
        <v>140.5</v>
      </c>
      <c r="C12" s="2">
        <v>5</v>
      </c>
    </row>
    <row r="13" spans="1:16" x14ac:dyDescent="0.3">
      <c r="A13" s="9">
        <v>130</v>
      </c>
      <c r="B13" s="1">
        <v>144.25</v>
      </c>
      <c r="C13" s="2">
        <v>4</v>
      </c>
    </row>
    <row r="14" spans="1:16" ht="15" thickBot="1" x14ac:dyDescent="0.35">
      <c r="A14" s="9">
        <v>141</v>
      </c>
      <c r="B14" s="3" t="s">
        <v>76</v>
      </c>
      <c r="C14" s="4">
        <v>2</v>
      </c>
    </row>
    <row r="15" spans="1:16" x14ac:dyDescent="0.3">
      <c r="A15" s="9">
        <v>118</v>
      </c>
    </row>
    <row r="16" spans="1:16" x14ac:dyDescent="0.3">
      <c r="A16" s="9">
        <v>125</v>
      </c>
    </row>
    <row r="17" spans="1:1" x14ac:dyDescent="0.3">
      <c r="A17" s="9">
        <v>132</v>
      </c>
    </row>
    <row r="18" spans="1:1" x14ac:dyDescent="0.3">
      <c r="A18" s="9">
        <v>136</v>
      </c>
    </row>
    <row r="19" spans="1:1" x14ac:dyDescent="0.3">
      <c r="A19" s="9">
        <v>128</v>
      </c>
    </row>
    <row r="20" spans="1:1" x14ac:dyDescent="0.3">
      <c r="A20" s="9">
        <v>123</v>
      </c>
    </row>
    <row r="21" spans="1:1" x14ac:dyDescent="0.3">
      <c r="A21" s="9">
        <v>132</v>
      </c>
    </row>
    <row r="22" spans="1:1" x14ac:dyDescent="0.3">
      <c r="A22" s="9">
        <v>138</v>
      </c>
    </row>
    <row r="23" spans="1:1" x14ac:dyDescent="0.3">
      <c r="A23" s="9">
        <v>126</v>
      </c>
    </row>
    <row r="24" spans="1:1" x14ac:dyDescent="0.3">
      <c r="A24" s="9">
        <v>129</v>
      </c>
    </row>
    <row r="25" spans="1:1" x14ac:dyDescent="0.3">
      <c r="A25" s="9">
        <v>136</v>
      </c>
    </row>
    <row r="26" spans="1:1" x14ac:dyDescent="0.3">
      <c r="A26" s="9">
        <v>127</v>
      </c>
    </row>
    <row r="27" spans="1:1" x14ac:dyDescent="0.3">
      <c r="A27" s="9">
        <v>130</v>
      </c>
    </row>
    <row r="28" spans="1:1" x14ac:dyDescent="0.3">
      <c r="A28" s="9">
        <v>122</v>
      </c>
    </row>
    <row r="29" spans="1:1" x14ac:dyDescent="0.3">
      <c r="A29" s="9">
        <v>125</v>
      </c>
    </row>
    <row r="30" spans="1:1" x14ac:dyDescent="0.3">
      <c r="A30" s="9">
        <v>133</v>
      </c>
    </row>
    <row r="31" spans="1:1" x14ac:dyDescent="0.3">
      <c r="A31" s="9">
        <v>140</v>
      </c>
    </row>
    <row r="32" spans="1:1" x14ac:dyDescent="0.3">
      <c r="A32" s="9">
        <v>126</v>
      </c>
    </row>
    <row r="33" spans="1:1" x14ac:dyDescent="0.3">
      <c r="A33" s="9">
        <v>133</v>
      </c>
    </row>
    <row r="34" spans="1:1" x14ac:dyDescent="0.3">
      <c r="A34" s="9">
        <v>135</v>
      </c>
    </row>
    <row r="35" spans="1:1" x14ac:dyDescent="0.3">
      <c r="A35" s="9">
        <v>130</v>
      </c>
    </row>
    <row r="36" spans="1:1" x14ac:dyDescent="0.3">
      <c r="A36" s="9">
        <v>134</v>
      </c>
    </row>
    <row r="37" spans="1:1" x14ac:dyDescent="0.3">
      <c r="A37" s="9">
        <v>141</v>
      </c>
    </row>
    <row r="38" spans="1:1" x14ac:dyDescent="0.3">
      <c r="A38" s="9">
        <v>119</v>
      </c>
    </row>
    <row r="39" spans="1:1" x14ac:dyDescent="0.3">
      <c r="A39" s="9">
        <v>125</v>
      </c>
    </row>
    <row r="40" spans="1:1" x14ac:dyDescent="0.3">
      <c r="A40" s="9">
        <v>131</v>
      </c>
    </row>
    <row r="41" spans="1:1" x14ac:dyDescent="0.3">
      <c r="A41" s="9">
        <v>136</v>
      </c>
    </row>
    <row r="42" spans="1:1" x14ac:dyDescent="0.3">
      <c r="A42" s="9">
        <v>128</v>
      </c>
    </row>
    <row r="43" spans="1:1" x14ac:dyDescent="0.3">
      <c r="A43" s="9">
        <v>124</v>
      </c>
    </row>
    <row r="44" spans="1:1" x14ac:dyDescent="0.3">
      <c r="A44" s="9">
        <v>132</v>
      </c>
    </row>
    <row r="45" spans="1:1" x14ac:dyDescent="0.3">
      <c r="A45" s="9">
        <v>136</v>
      </c>
    </row>
    <row r="46" spans="1:1" x14ac:dyDescent="0.3">
      <c r="A46" s="9">
        <v>127</v>
      </c>
    </row>
    <row r="47" spans="1:1" x14ac:dyDescent="0.3">
      <c r="A47" s="9">
        <v>130</v>
      </c>
    </row>
    <row r="48" spans="1:1" x14ac:dyDescent="0.3">
      <c r="A48" s="9">
        <v>122</v>
      </c>
    </row>
    <row r="49" spans="1:1" x14ac:dyDescent="0.3">
      <c r="A49" s="9">
        <v>125</v>
      </c>
    </row>
    <row r="50" spans="1:1" x14ac:dyDescent="0.3">
      <c r="A50" s="9">
        <v>131</v>
      </c>
    </row>
    <row r="51" spans="1:1" x14ac:dyDescent="0.3">
      <c r="A51" s="9">
        <v>136</v>
      </c>
    </row>
    <row r="52" spans="1:1" x14ac:dyDescent="0.3">
      <c r="A52" s="9">
        <v>128</v>
      </c>
    </row>
    <row r="53" spans="1:1" x14ac:dyDescent="0.3">
      <c r="A53" s="9">
        <v>124</v>
      </c>
    </row>
    <row r="54" spans="1:1" x14ac:dyDescent="0.3">
      <c r="A54" s="9">
        <v>132</v>
      </c>
    </row>
    <row r="55" spans="1:1" x14ac:dyDescent="0.3">
      <c r="A55" s="9">
        <v>136</v>
      </c>
    </row>
    <row r="56" spans="1:1" x14ac:dyDescent="0.3">
      <c r="A56" s="9">
        <v>127</v>
      </c>
    </row>
    <row r="57" spans="1:1" x14ac:dyDescent="0.3">
      <c r="A57" s="9">
        <v>130</v>
      </c>
    </row>
    <row r="58" spans="1:1" x14ac:dyDescent="0.3">
      <c r="A58" s="9">
        <v>122</v>
      </c>
    </row>
    <row r="59" spans="1:1" x14ac:dyDescent="0.3">
      <c r="A59" s="9">
        <v>125</v>
      </c>
    </row>
    <row r="60" spans="1:1" x14ac:dyDescent="0.3">
      <c r="A60" s="9">
        <v>133</v>
      </c>
    </row>
    <row r="61" spans="1:1" x14ac:dyDescent="0.3">
      <c r="A61" s="9">
        <v>140</v>
      </c>
    </row>
    <row r="62" spans="1:1" x14ac:dyDescent="0.3">
      <c r="A62" s="9">
        <v>126</v>
      </c>
    </row>
    <row r="63" spans="1:1" x14ac:dyDescent="0.3">
      <c r="A63" s="9">
        <v>133</v>
      </c>
    </row>
    <row r="64" spans="1:1" x14ac:dyDescent="0.3">
      <c r="A64" s="9">
        <v>135</v>
      </c>
    </row>
    <row r="65" spans="1:1" x14ac:dyDescent="0.3">
      <c r="A65" s="9">
        <v>130</v>
      </c>
    </row>
    <row r="66" spans="1:1" x14ac:dyDescent="0.3">
      <c r="A66" s="9">
        <v>134</v>
      </c>
    </row>
    <row r="67" spans="1:1" x14ac:dyDescent="0.3">
      <c r="A67" s="9">
        <v>141</v>
      </c>
    </row>
    <row r="68" spans="1:1" x14ac:dyDescent="0.3">
      <c r="A68" s="9">
        <v>119</v>
      </c>
    </row>
    <row r="69" spans="1:1" x14ac:dyDescent="0.3">
      <c r="A69" s="9">
        <v>125</v>
      </c>
    </row>
    <row r="70" spans="1:1" x14ac:dyDescent="0.3">
      <c r="A70" s="9">
        <v>133</v>
      </c>
    </row>
    <row r="71" spans="1:1" x14ac:dyDescent="0.3">
      <c r="A71" s="9">
        <v>140</v>
      </c>
    </row>
    <row r="72" spans="1:1" x14ac:dyDescent="0.3">
      <c r="A72" s="9">
        <v>126</v>
      </c>
    </row>
    <row r="73" spans="1:1" x14ac:dyDescent="0.3">
      <c r="A73" s="9">
        <v>133</v>
      </c>
    </row>
    <row r="74" spans="1:1" x14ac:dyDescent="0.3">
      <c r="A74" s="9">
        <v>135</v>
      </c>
    </row>
    <row r="75" spans="1:1" x14ac:dyDescent="0.3">
      <c r="A75" s="9">
        <v>130</v>
      </c>
    </row>
    <row r="76" spans="1:1" x14ac:dyDescent="0.3">
      <c r="A76" s="9">
        <v>134</v>
      </c>
    </row>
    <row r="77" spans="1:1" x14ac:dyDescent="0.3">
      <c r="A77" s="9">
        <v>141</v>
      </c>
    </row>
    <row r="78" spans="1:1" x14ac:dyDescent="0.3">
      <c r="A78" s="9">
        <v>119</v>
      </c>
    </row>
    <row r="79" spans="1:1" x14ac:dyDescent="0.3">
      <c r="A79" s="9">
        <v>125</v>
      </c>
    </row>
    <row r="80" spans="1:1" x14ac:dyDescent="0.3">
      <c r="A80" s="9">
        <v>131</v>
      </c>
    </row>
    <row r="81" spans="1:1" x14ac:dyDescent="0.3">
      <c r="A81" s="9">
        <v>136</v>
      </c>
    </row>
    <row r="82" spans="1:1" x14ac:dyDescent="0.3">
      <c r="A82" s="9">
        <v>128</v>
      </c>
    </row>
    <row r="83" spans="1:1" x14ac:dyDescent="0.3">
      <c r="A83" s="9">
        <v>124</v>
      </c>
    </row>
    <row r="84" spans="1:1" ht="15" thickBot="1" x14ac:dyDescent="0.35">
      <c r="A84" s="10">
        <v>132</v>
      </c>
    </row>
  </sheetData>
  <mergeCells count="1">
    <mergeCell ref="I1:P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O15"/>
  <sheetViews>
    <sheetView workbookViewId="0">
      <selection activeCell="E11" sqref="E11"/>
    </sheetView>
  </sheetViews>
  <sheetFormatPr defaultRowHeight="14.4" x14ac:dyDescent="0.3"/>
  <sheetData>
    <row r="2" spans="1:15" ht="18" x14ac:dyDescent="0.35">
      <c r="J2" s="137" t="s">
        <v>96</v>
      </c>
      <c r="K2" s="137"/>
      <c r="L2" s="137"/>
      <c r="M2" s="137"/>
      <c r="N2" s="137"/>
      <c r="O2" s="137"/>
    </row>
    <row r="4" spans="1:15" ht="15" thickBot="1" x14ac:dyDescent="0.35"/>
    <row r="5" spans="1:15" ht="15" thickBot="1" x14ac:dyDescent="0.35">
      <c r="A5" s="105" t="s">
        <v>97</v>
      </c>
      <c r="B5" s="106" t="s">
        <v>98</v>
      </c>
      <c r="C5" s="107" t="s">
        <v>99</v>
      </c>
      <c r="E5" s="109"/>
      <c r="F5" s="110" t="s">
        <v>100</v>
      </c>
    </row>
    <row r="6" spans="1:15" x14ac:dyDescent="0.3">
      <c r="A6" s="1">
        <v>45</v>
      </c>
      <c r="B6">
        <v>32</v>
      </c>
      <c r="C6" s="2">
        <v>40</v>
      </c>
      <c r="E6" s="98" t="s">
        <v>97</v>
      </c>
      <c r="F6" s="2">
        <f>AVERAGE(A6:A15)</f>
        <v>40.4</v>
      </c>
    </row>
    <row r="7" spans="1:15" x14ac:dyDescent="0.3">
      <c r="A7" s="1">
        <v>35</v>
      </c>
      <c r="B7">
        <v>28</v>
      </c>
      <c r="C7" s="2">
        <v>39</v>
      </c>
      <c r="E7" s="98" t="s">
        <v>98</v>
      </c>
      <c r="F7" s="2">
        <f>AVERAGE(B6:B15)</f>
        <v>33.299999999999997</v>
      </c>
    </row>
    <row r="8" spans="1:15" ht="15" thickBot="1" x14ac:dyDescent="0.35">
      <c r="A8" s="1">
        <v>40</v>
      </c>
      <c r="B8">
        <v>38</v>
      </c>
      <c r="C8" s="2">
        <v>42</v>
      </c>
      <c r="E8" s="108" t="s">
        <v>99</v>
      </c>
      <c r="F8" s="4">
        <f>AVERAGE(C6:C15)</f>
        <v>41</v>
      </c>
    </row>
    <row r="9" spans="1:15" x14ac:dyDescent="0.3">
      <c r="A9" s="1">
        <v>38</v>
      </c>
      <c r="B9">
        <v>34</v>
      </c>
      <c r="C9" s="2">
        <v>41</v>
      </c>
    </row>
    <row r="10" spans="1:15" x14ac:dyDescent="0.3">
      <c r="A10" s="1">
        <v>42</v>
      </c>
      <c r="B10">
        <v>33</v>
      </c>
      <c r="C10" s="2">
        <v>38</v>
      </c>
    </row>
    <row r="11" spans="1:15" x14ac:dyDescent="0.3">
      <c r="A11" s="1">
        <v>37</v>
      </c>
      <c r="B11">
        <v>35</v>
      </c>
      <c r="C11" s="2">
        <v>43</v>
      </c>
    </row>
    <row r="12" spans="1:15" x14ac:dyDescent="0.3">
      <c r="A12" s="1">
        <v>39</v>
      </c>
      <c r="B12">
        <v>31</v>
      </c>
      <c r="C12" s="2">
        <v>45</v>
      </c>
    </row>
    <row r="13" spans="1:15" x14ac:dyDescent="0.3">
      <c r="A13" s="1">
        <v>43</v>
      </c>
      <c r="B13">
        <v>29</v>
      </c>
      <c r="C13" s="2">
        <v>44</v>
      </c>
    </row>
    <row r="14" spans="1:15" x14ac:dyDescent="0.3">
      <c r="A14" s="1">
        <v>44</v>
      </c>
      <c r="B14">
        <v>36</v>
      </c>
      <c r="C14" s="2">
        <v>41</v>
      </c>
    </row>
    <row r="15" spans="1:15" ht="15" thickBot="1" x14ac:dyDescent="0.35">
      <c r="A15" s="3">
        <v>41</v>
      </c>
      <c r="B15" s="29">
        <v>37</v>
      </c>
      <c r="C15" s="4">
        <v>37</v>
      </c>
    </row>
  </sheetData>
  <mergeCells count="1">
    <mergeCell ref="J2:O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56"/>
  <sheetViews>
    <sheetView tabSelected="1" workbookViewId="0">
      <selection activeCell="J2" sqref="J2:P2"/>
    </sheetView>
  </sheetViews>
  <sheetFormatPr defaultRowHeight="14.4" x14ac:dyDescent="0.3"/>
  <cols>
    <col min="1" max="1" width="14" bestFit="1" customWidth="1"/>
    <col min="2" max="2" width="16.5546875" bestFit="1" customWidth="1"/>
  </cols>
  <sheetData>
    <row r="1" spans="1:16" ht="15" thickBot="1" x14ac:dyDescent="0.35"/>
    <row r="2" spans="1:16" ht="18.600000000000001" thickBot="1" x14ac:dyDescent="0.4">
      <c r="J2" s="138" t="s">
        <v>101</v>
      </c>
      <c r="K2" s="139"/>
      <c r="L2" s="139"/>
      <c r="M2" s="139"/>
      <c r="N2" s="139"/>
      <c r="O2" s="139"/>
      <c r="P2" s="140"/>
    </row>
    <row r="4" spans="1:16" ht="15" thickBot="1" x14ac:dyDescent="0.35"/>
    <row r="5" spans="1:16" ht="15" thickBot="1" x14ac:dyDescent="0.35">
      <c r="A5" s="91" t="s">
        <v>102</v>
      </c>
    </row>
    <row r="6" spans="1:16" x14ac:dyDescent="0.3">
      <c r="A6" s="9">
        <v>-2.5</v>
      </c>
      <c r="B6" s="37" t="s">
        <v>102</v>
      </c>
      <c r="C6" s="38"/>
    </row>
    <row r="7" spans="1:16" x14ac:dyDescent="0.3">
      <c r="A7" s="9">
        <v>1.3</v>
      </c>
      <c r="B7" s="1"/>
      <c r="C7" s="2"/>
    </row>
    <row r="8" spans="1:16" x14ac:dyDescent="0.3">
      <c r="A8" s="9">
        <v>-0.8</v>
      </c>
      <c r="B8" s="1" t="s">
        <v>6</v>
      </c>
      <c r="C8" s="2">
        <v>0.22352941176470581</v>
      </c>
    </row>
    <row r="9" spans="1:16" x14ac:dyDescent="0.3">
      <c r="A9" s="9">
        <v>-1.9</v>
      </c>
      <c r="B9" s="1" t="s">
        <v>7</v>
      </c>
      <c r="C9" s="2">
        <v>0.21417581627442583</v>
      </c>
    </row>
    <row r="10" spans="1:16" x14ac:dyDescent="0.3">
      <c r="A10" s="9">
        <v>2.1</v>
      </c>
      <c r="B10" s="1" t="s">
        <v>8</v>
      </c>
      <c r="C10" s="2">
        <v>-0.1</v>
      </c>
    </row>
    <row r="11" spans="1:16" x14ac:dyDescent="0.3">
      <c r="A11" s="9">
        <v>0.5</v>
      </c>
      <c r="B11" s="1" t="s">
        <v>9</v>
      </c>
      <c r="C11" s="2">
        <v>-0.3</v>
      </c>
    </row>
    <row r="12" spans="1:16" x14ac:dyDescent="0.3">
      <c r="A12" s="9">
        <v>-1.2</v>
      </c>
      <c r="B12" s="1" t="s">
        <v>10</v>
      </c>
      <c r="C12" s="2">
        <v>1.5295212630485551</v>
      </c>
    </row>
    <row r="13" spans="1:16" x14ac:dyDescent="0.3">
      <c r="A13" s="9">
        <v>1.8</v>
      </c>
      <c r="B13" s="1" t="s">
        <v>11</v>
      </c>
      <c r="C13" s="2">
        <v>2.3394352941176475</v>
      </c>
    </row>
    <row r="14" spans="1:16" x14ac:dyDescent="0.3">
      <c r="A14" s="9">
        <v>-0.5</v>
      </c>
      <c r="B14" s="79" t="s">
        <v>12</v>
      </c>
      <c r="C14" s="82">
        <v>-1.276389660629059</v>
      </c>
    </row>
    <row r="15" spans="1:16" x14ac:dyDescent="0.3">
      <c r="A15" s="9">
        <v>2.2999999999999998</v>
      </c>
      <c r="B15" s="79" t="s">
        <v>13</v>
      </c>
      <c r="C15" s="82">
        <v>7.8737191224379416E-2</v>
      </c>
    </row>
    <row r="16" spans="1:16" x14ac:dyDescent="0.3">
      <c r="A16" s="9">
        <v>-0.7</v>
      </c>
      <c r="B16" s="1" t="s">
        <v>14</v>
      </c>
      <c r="C16" s="2">
        <v>5.3</v>
      </c>
    </row>
    <row r="17" spans="1:3" x14ac:dyDescent="0.3">
      <c r="A17" s="9">
        <v>1.2</v>
      </c>
      <c r="B17" s="1" t="s">
        <v>15</v>
      </c>
      <c r="C17" s="2">
        <v>-2.5</v>
      </c>
    </row>
    <row r="18" spans="1:3" x14ac:dyDescent="0.3">
      <c r="A18" s="9">
        <v>-1.5</v>
      </c>
      <c r="B18" s="1" t="s">
        <v>16</v>
      </c>
      <c r="C18" s="2">
        <v>2.8</v>
      </c>
    </row>
    <row r="19" spans="1:3" x14ac:dyDescent="0.3">
      <c r="A19" s="9">
        <v>-0.3</v>
      </c>
      <c r="B19" s="1" t="s">
        <v>17</v>
      </c>
      <c r="C19" s="2">
        <v>11.399999999999997</v>
      </c>
    </row>
    <row r="20" spans="1:3" ht="15" thickBot="1" x14ac:dyDescent="0.35">
      <c r="A20" s="9">
        <v>2.6</v>
      </c>
      <c r="B20" s="3" t="s">
        <v>18</v>
      </c>
      <c r="C20" s="4">
        <v>51</v>
      </c>
    </row>
    <row r="21" spans="1:3" x14ac:dyDescent="0.3">
      <c r="A21" s="9">
        <v>1.1000000000000001</v>
      </c>
    </row>
    <row r="22" spans="1:3" x14ac:dyDescent="0.3">
      <c r="A22" s="9">
        <v>-1.7</v>
      </c>
    </row>
    <row r="23" spans="1:3" x14ac:dyDescent="0.3">
      <c r="A23" s="9">
        <v>0.9</v>
      </c>
    </row>
    <row r="24" spans="1:3" x14ac:dyDescent="0.3">
      <c r="A24" s="9">
        <v>-1.4</v>
      </c>
    </row>
    <row r="25" spans="1:3" x14ac:dyDescent="0.3">
      <c r="A25" s="9">
        <v>0.3</v>
      </c>
    </row>
    <row r="26" spans="1:3" x14ac:dyDescent="0.3">
      <c r="A26" s="9">
        <v>1.9</v>
      </c>
    </row>
    <row r="27" spans="1:3" x14ac:dyDescent="0.3">
      <c r="A27" s="9">
        <v>-1.1000000000000001</v>
      </c>
    </row>
    <row r="28" spans="1:3" x14ac:dyDescent="0.3">
      <c r="A28" s="9">
        <v>-0.4</v>
      </c>
    </row>
    <row r="29" spans="1:3" x14ac:dyDescent="0.3">
      <c r="A29" s="9">
        <v>2.2000000000000002</v>
      </c>
    </row>
    <row r="30" spans="1:3" x14ac:dyDescent="0.3">
      <c r="A30" s="9">
        <v>-0.9</v>
      </c>
    </row>
    <row r="31" spans="1:3" x14ac:dyDescent="0.3">
      <c r="A31" s="9">
        <v>1.6</v>
      </c>
    </row>
    <row r="32" spans="1:3" x14ac:dyDescent="0.3">
      <c r="A32" s="9">
        <v>-0.6</v>
      </c>
    </row>
    <row r="33" spans="1:1" x14ac:dyDescent="0.3">
      <c r="A33" s="9">
        <v>-1.3</v>
      </c>
    </row>
    <row r="34" spans="1:1" x14ac:dyDescent="0.3">
      <c r="A34" s="9">
        <v>2.4</v>
      </c>
    </row>
    <row r="35" spans="1:1" x14ac:dyDescent="0.3">
      <c r="A35" s="9">
        <v>0.7</v>
      </c>
    </row>
    <row r="36" spans="1:1" x14ac:dyDescent="0.3">
      <c r="A36" s="9">
        <v>-1.8</v>
      </c>
    </row>
    <row r="37" spans="1:1" x14ac:dyDescent="0.3">
      <c r="A37" s="9">
        <v>1.5</v>
      </c>
    </row>
    <row r="38" spans="1:1" x14ac:dyDescent="0.3">
      <c r="A38" s="9">
        <v>-0.2</v>
      </c>
    </row>
    <row r="39" spans="1:1" x14ac:dyDescent="0.3">
      <c r="A39" s="9">
        <v>-2.1</v>
      </c>
    </row>
    <row r="40" spans="1:1" x14ac:dyDescent="0.3">
      <c r="A40" s="9">
        <v>2.8</v>
      </c>
    </row>
    <row r="41" spans="1:1" x14ac:dyDescent="0.3">
      <c r="A41" s="9">
        <v>0.8</v>
      </c>
    </row>
    <row r="42" spans="1:1" x14ac:dyDescent="0.3">
      <c r="A42" s="9">
        <v>-1.6</v>
      </c>
    </row>
    <row r="43" spans="1:1" x14ac:dyDescent="0.3">
      <c r="A43" s="9">
        <v>1.4</v>
      </c>
    </row>
    <row r="44" spans="1:1" x14ac:dyDescent="0.3">
      <c r="A44" s="9">
        <v>-0.4</v>
      </c>
    </row>
    <row r="45" spans="1:1" x14ac:dyDescent="0.3">
      <c r="A45" s="9">
        <v>-0.1</v>
      </c>
    </row>
    <row r="46" spans="1:1" x14ac:dyDescent="0.3">
      <c r="A46" s="9">
        <v>2.5</v>
      </c>
    </row>
    <row r="47" spans="1:1" x14ac:dyDescent="0.3">
      <c r="A47" s="9">
        <v>-1</v>
      </c>
    </row>
    <row r="48" spans="1:1" x14ac:dyDescent="0.3">
      <c r="A48" s="9">
        <v>1.7</v>
      </c>
    </row>
    <row r="49" spans="1:1" x14ac:dyDescent="0.3">
      <c r="A49" s="9">
        <v>-0.9</v>
      </c>
    </row>
    <row r="50" spans="1:1" x14ac:dyDescent="0.3">
      <c r="A50" s="9">
        <v>-2</v>
      </c>
    </row>
    <row r="51" spans="1:1" x14ac:dyDescent="0.3">
      <c r="A51" s="9">
        <v>2.7</v>
      </c>
    </row>
    <row r="52" spans="1:1" x14ac:dyDescent="0.3">
      <c r="A52" s="9">
        <v>0.6</v>
      </c>
    </row>
    <row r="53" spans="1:1" x14ac:dyDescent="0.3">
      <c r="A53" s="9">
        <v>-1.4</v>
      </c>
    </row>
    <row r="54" spans="1:1" x14ac:dyDescent="0.3">
      <c r="A54" s="9">
        <v>1.1000000000000001</v>
      </c>
    </row>
    <row r="55" spans="1:1" x14ac:dyDescent="0.3">
      <c r="A55" s="9">
        <v>-0.3</v>
      </c>
    </row>
    <row r="56" spans="1:1" ht="15" thickBot="1" x14ac:dyDescent="0.35">
      <c r="A56" s="10">
        <v>2</v>
      </c>
    </row>
  </sheetData>
  <mergeCells count="1">
    <mergeCell ref="J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01"/>
  <sheetViews>
    <sheetView workbookViewId="0">
      <selection activeCell="B14" sqref="B14:C15"/>
    </sheetView>
  </sheetViews>
  <sheetFormatPr defaultRowHeight="14.4" x14ac:dyDescent="0.3"/>
  <cols>
    <col min="1" max="1" width="21.109375" bestFit="1" customWidth="1"/>
    <col min="2" max="2" width="16.5546875" bestFit="1" customWidth="1"/>
  </cols>
  <sheetData>
    <row r="1" spans="1:14" ht="15" thickBot="1" x14ac:dyDescent="0.35"/>
    <row r="2" spans="1:14" ht="18.600000000000001" thickBot="1" x14ac:dyDescent="0.4">
      <c r="I2" s="138" t="s">
        <v>103</v>
      </c>
      <c r="J2" s="139"/>
      <c r="K2" s="139"/>
      <c r="L2" s="139"/>
      <c r="M2" s="139"/>
      <c r="N2" s="140"/>
    </row>
    <row r="4" spans="1:14" ht="15" thickBot="1" x14ac:dyDescent="0.35"/>
    <row r="5" spans="1:14" ht="15" thickBot="1" x14ac:dyDescent="0.35">
      <c r="A5" s="111" t="s">
        <v>104</v>
      </c>
    </row>
    <row r="6" spans="1:14" ht="15" thickBot="1" x14ac:dyDescent="0.35">
      <c r="A6" s="9">
        <v>2.5</v>
      </c>
      <c r="B6" s="112" t="s">
        <v>104</v>
      </c>
      <c r="C6" s="113"/>
    </row>
    <row r="7" spans="1:14" x14ac:dyDescent="0.3">
      <c r="A7" s="9">
        <v>4.8</v>
      </c>
      <c r="C7" s="2"/>
    </row>
    <row r="8" spans="1:14" x14ac:dyDescent="0.3">
      <c r="A8" s="9">
        <v>3.2</v>
      </c>
      <c r="B8" t="s">
        <v>6</v>
      </c>
      <c r="C8" s="2">
        <v>3.379166666666666</v>
      </c>
    </row>
    <row r="9" spans="1:14" x14ac:dyDescent="0.3">
      <c r="A9" s="9">
        <v>2.1</v>
      </c>
      <c r="B9" t="s">
        <v>7</v>
      </c>
      <c r="C9" s="2">
        <v>8.0567023785401773E-2</v>
      </c>
    </row>
    <row r="10" spans="1:14" x14ac:dyDescent="0.3">
      <c r="A10" s="9">
        <v>4.5</v>
      </c>
      <c r="B10" t="s">
        <v>8</v>
      </c>
      <c r="C10" s="2">
        <v>3.3</v>
      </c>
    </row>
    <row r="11" spans="1:14" x14ac:dyDescent="0.3">
      <c r="A11" s="9">
        <v>2.9</v>
      </c>
      <c r="B11" t="s">
        <v>9</v>
      </c>
      <c r="C11" s="2">
        <v>3.3</v>
      </c>
    </row>
    <row r="12" spans="1:14" x14ac:dyDescent="0.3">
      <c r="A12" s="9">
        <v>2.2999999999999998</v>
      </c>
      <c r="B12" t="s">
        <v>10</v>
      </c>
      <c r="C12" s="2">
        <v>0.78939239347563983</v>
      </c>
    </row>
    <row r="13" spans="1:14" x14ac:dyDescent="0.3">
      <c r="A13" s="9">
        <v>3.1</v>
      </c>
      <c r="B13" t="s">
        <v>11</v>
      </c>
      <c r="C13" s="2">
        <v>0.62314035087719943</v>
      </c>
    </row>
    <row r="14" spans="1:14" x14ac:dyDescent="0.3">
      <c r="A14" s="9">
        <v>4.2</v>
      </c>
      <c r="B14" s="114" t="s">
        <v>12</v>
      </c>
      <c r="C14" s="33">
        <v>-0.93120912452529181</v>
      </c>
    </row>
    <row r="15" spans="1:14" x14ac:dyDescent="0.3">
      <c r="A15" s="9">
        <v>3.9</v>
      </c>
      <c r="B15" s="114" t="s">
        <v>13</v>
      </c>
      <c r="C15" s="33">
        <v>0.22402536454542335</v>
      </c>
    </row>
    <row r="16" spans="1:14" x14ac:dyDescent="0.3">
      <c r="A16" s="9">
        <v>2.8</v>
      </c>
      <c r="B16" t="s">
        <v>14</v>
      </c>
      <c r="C16" s="2">
        <v>2.9000000000000004</v>
      </c>
    </row>
    <row r="17" spans="1:3" x14ac:dyDescent="0.3">
      <c r="A17" s="9">
        <v>4.0999999999999996</v>
      </c>
      <c r="B17" t="s">
        <v>15</v>
      </c>
      <c r="C17" s="2">
        <v>2</v>
      </c>
    </row>
    <row r="18" spans="1:3" x14ac:dyDescent="0.3">
      <c r="A18" s="9">
        <v>2.6</v>
      </c>
      <c r="B18" t="s">
        <v>16</v>
      </c>
      <c r="C18" s="2">
        <v>4.9000000000000004</v>
      </c>
    </row>
    <row r="19" spans="1:3" x14ac:dyDescent="0.3">
      <c r="A19" s="9">
        <v>2.4</v>
      </c>
      <c r="B19" t="s">
        <v>17</v>
      </c>
      <c r="C19" s="2">
        <v>324.39999999999992</v>
      </c>
    </row>
    <row r="20" spans="1:3" ht="15" thickBot="1" x14ac:dyDescent="0.35">
      <c r="A20" s="9">
        <v>4.7</v>
      </c>
      <c r="B20" s="29" t="s">
        <v>18</v>
      </c>
      <c r="C20" s="4">
        <v>96</v>
      </c>
    </row>
    <row r="21" spans="1:3" x14ac:dyDescent="0.3">
      <c r="A21" s="9">
        <v>3.3</v>
      </c>
    </row>
    <row r="22" spans="1:3" x14ac:dyDescent="0.3">
      <c r="A22" s="9">
        <v>2.7</v>
      </c>
    </row>
    <row r="23" spans="1:3" x14ac:dyDescent="0.3">
      <c r="A23" s="9">
        <v>3</v>
      </c>
    </row>
    <row r="24" spans="1:3" x14ac:dyDescent="0.3">
      <c r="A24" s="9">
        <v>4.3</v>
      </c>
    </row>
    <row r="25" spans="1:3" x14ac:dyDescent="0.3">
      <c r="A25" s="9">
        <v>3.7</v>
      </c>
    </row>
    <row r="26" spans="1:3" x14ac:dyDescent="0.3">
      <c r="A26" s="9">
        <v>2.2000000000000002</v>
      </c>
    </row>
    <row r="27" spans="1:3" x14ac:dyDescent="0.3">
      <c r="A27" s="9">
        <v>3.6</v>
      </c>
    </row>
    <row r="28" spans="1:3" x14ac:dyDescent="0.3">
      <c r="A28" s="9">
        <v>4</v>
      </c>
    </row>
    <row r="29" spans="1:3" x14ac:dyDescent="0.3">
      <c r="A29" s="9">
        <v>2.7</v>
      </c>
    </row>
    <row r="30" spans="1:3" x14ac:dyDescent="0.3">
      <c r="A30" s="9">
        <v>3.8</v>
      </c>
    </row>
    <row r="31" spans="1:3" x14ac:dyDescent="0.3">
      <c r="A31" s="9">
        <v>3.5</v>
      </c>
    </row>
    <row r="32" spans="1:3" x14ac:dyDescent="0.3">
      <c r="A32" s="9">
        <v>3.2</v>
      </c>
    </row>
    <row r="33" spans="1:1" x14ac:dyDescent="0.3">
      <c r="A33" s="9">
        <v>4.4000000000000004</v>
      </c>
    </row>
    <row r="34" spans="1:1" x14ac:dyDescent="0.3">
      <c r="A34" s="9">
        <v>2</v>
      </c>
    </row>
    <row r="35" spans="1:1" x14ac:dyDescent="0.3">
      <c r="A35" s="9">
        <v>3.4</v>
      </c>
    </row>
    <row r="36" spans="1:1" x14ac:dyDescent="0.3">
      <c r="A36" s="9">
        <v>3.1</v>
      </c>
    </row>
    <row r="37" spans="1:1" x14ac:dyDescent="0.3">
      <c r="A37" s="9">
        <v>2.9</v>
      </c>
    </row>
    <row r="38" spans="1:1" x14ac:dyDescent="0.3">
      <c r="A38" s="9">
        <v>4.5999999999999996</v>
      </c>
    </row>
    <row r="39" spans="1:1" x14ac:dyDescent="0.3">
      <c r="A39" s="9">
        <v>3.3</v>
      </c>
    </row>
    <row r="40" spans="1:1" x14ac:dyDescent="0.3">
      <c r="A40" s="9">
        <v>2.5</v>
      </c>
    </row>
    <row r="41" spans="1:1" x14ac:dyDescent="0.3">
      <c r="A41" s="9">
        <v>4.9000000000000004</v>
      </c>
    </row>
    <row r="42" spans="1:1" x14ac:dyDescent="0.3">
      <c r="A42" s="9">
        <v>2.8</v>
      </c>
    </row>
    <row r="43" spans="1:1" x14ac:dyDescent="0.3">
      <c r="A43" s="9">
        <v>3</v>
      </c>
    </row>
    <row r="44" spans="1:1" x14ac:dyDescent="0.3">
      <c r="A44" s="9">
        <v>4.2</v>
      </c>
    </row>
    <row r="45" spans="1:1" x14ac:dyDescent="0.3">
      <c r="A45" s="9">
        <v>3.9</v>
      </c>
    </row>
    <row r="46" spans="1:1" x14ac:dyDescent="0.3">
      <c r="A46" s="9">
        <v>2.8</v>
      </c>
    </row>
    <row r="47" spans="1:1" x14ac:dyDescent="0.3">
      <c r="A47" s="9">
        <v>4.0999999999999996</v>
      </c>
    </row>
    <row r="48" spans="1:1" x14ac:dyDescent="0.3">
      <c r="A48" s="9">
        <v>2.6</v>
      </c>
    </row>
    <row r="49" spans="1:1" x14ac:dyDescent="0.3">
      <c r="A49" s="9">
        <v>2.4</v>
      </c>
    </row>
    <row r="50" spans="1:1" x14ac:dyDescent="0.3">
      <c r="A50" s="9">
        <v>4.7</v>
      </c>
    </row>
    <row r="51" spans="1:1" x14ac:dyDescent="0.3">
      <c r="A51" s="9">
        <v>3.3</v>
      </c>
    </row>
    <row r="52" spans="1:1" x14ac:dyDescent="0.3">
      <c r="A52" s="9">
        <v>2.7</v>
      </c>
    </row>
    <row r="53" spans="1:1" x14ac:dyDescent="0.3">
      <c r="A53" s="9">
        <v>3</v>
      </c>
    </row>
    <row r="54" spans="1:1" x14ac:dyDescent="0.3">
      <c r="A54" s="9">
        <v>4.3</v>
      </c>
    </row>
    <row r="55" spans="1:1" x14ac:dyDescent="0.3">
      <c r="A55" s="9">
        <v>3.7</v>
      </c>
    </row>
    <row r="56" spans="1:1" x14ac:dyDescent="0.3">
      <c r="A56" s="9">
        <v>2.2000000000000002</v>
      </c>
    </row>
    <row r="57" spans="1:1" x14ac:dyDescent="0.3">
      <c r="A57" s="9">
        <v>3.6</v>
      </c>
    </row>
    <row r="58" spans="1:1" x14ac:dyDescent="0.3">
      <c r="A58" s="9">
        <v>4</v>
      </c>
    </row>
    <row r="59" spans="1:1" x14ac:dyDescent="0.3">
      <c r="A59" s="9">
        <v>2.7</v>
      </c>
    </row>
    <row r="60" spans="1:1" x14ac:dyDescent="0.3">
      <c r="A60" s="9">
        <v>3.8</v>
      </c>
    </row>
    <row r="61" spans="1:1" x14ac:dyDescent="0.3">
      <c r="A61" s="9">
        <v>3.5</v>
      </c>
    </row>
    <row r="62" spans="1:1" x14ac:dyDescent="0.3">
      <c r="A62" s="9">
        <v>3.2</v>
      </c>
    </row>
    <row r="63" spans="1:1" x14ac:dyDescent="0.3">
      <c r="A63" s="9">
        <v>4.4000000000000004</v>
      </c>
    </row>
    <row r="64" spans="1:1" x14ac:dyDescent="0.3">
      <c r="A64" s="9">
        <v>2</v>
      </c>
    </row>
    <row r="65" spans="1:1" x14ac:dyDescent="0.3">
      <c r="A65" s="9">
        <v>3.4</v>
      </c>
    </row>
    <row r="66" spans="1:1" x14ac:dyDescent="0.3">
      <c r="A66" s="9">
        <v>3.1</v>
      </c>
    </row>
    <row r="67" spans="1:1" x14ac:dyDescent="0.3">
      <c r="A67" s="9">
        <v>2.9</v>
      </c>
    </row>
    <row r="68" spans="1:1" x14ac:dyDescent="0.3">
      <c r="A68" s="9">
        <v>4.5999999999999996</v>
      </c>
    </row>
    <row r="69" spans="1:1" x14ac:dyDescent="0.3">
      <c r="A69" s="9">
        <v>3.3</v>
      </c>
    </row>
    <row r="70" spans="1:1" x14ac:dyDescent="0.3">
      <c r="A70" s="9">
        <v>2.5</v>
      </c>
    </row>
    <row r="71" spans="1:1" x14ac:dyDescent="0.3">
      <c r="A71" s="9">
        <v>4.9000000000000004</v>
      </c>
    </row>
    <row r="72" spans="1:1" x14ac:dyDescent="0.3">
      <c r="A72" s="9">
        <v>2.8</v>
      </c>
    </row>
    <row r="73" spans="1:1" x14ac:dyDescent="0.3">
      <c r="A73" s="9">
        <v>3</v>
      </c>
    </row>
    <row r="74" spans="1:1" x14ac:dyDescent="0.3">
      <c r="A74" s="9">
        <v>4.2</v>
      </c>
    </row>
    <row r="75" spans="1:1" x14ac:dyDescent="0.3">
      <c r="A75" s="9">
        <v>3.9</v>
      </c>
    </row>
    <row r="76" spans="1:1" x14ac:dyDescent="0.3">
      <c r="A76" s="9">
        <v>2.8</v>
      </c>
    </row>
    <row r="77" spans="1:1" x14ac:dyDescent="0.3">
      <c r="A77" s="9">
        <v>4.0999999999999996</v>
      </c>
    </row>
    <row r="78" spans="1:1" x14ac:dyDescent="0.3">
      <c r="A78" s="9">
        <v>2.6</v>
      </c>
    </row>
    <row r="79" spans="1:1" x14ac:dyDescent="0.3">
      <c r="A79" s="9">
        <v>2.4</v>
      </c>
    </row>
    <row r="80" spans="1:1" x14ac:dyDescent="0.3">
      <c r="A80" s="9">
        <v>4.7</v>
      </c>
    </row>
    <row r="81" spans="1:1" x14ac:dyDescent="0.3">
      <c r="A81" s="9">
        <v>3.3</v>
      </c>
    </row>
    <row r="82" spans="1:1" x14ac:dyDescent="0.3">
      <c r="A82" s="9">
        <v>2.7</v>
      </c>
    </row>
    <row r="83" spans="1:1" x14ac:dyDescent="0.3">
      <c r="A83" s="9">
        <v>3</v>
      </c>
    </row>
    <row r="84" spans="1:1" x14ac:dyDescent="0.3">
      <c r="A84" s="9">
        <v>4.3</v>
      </c>
    </row>
    <row r="85" spans="1:1" x14ac:dyDescent="0.3">
      <c r="A85" s="9">
        <v>3.7</v>
      </c>
    </row>
    <row r="86" spans="1:1" x14ac:dyDescent="0.3">
      <c r="A86" s="9">
        <v>2.2000000000000002</v>
      </c>
    </row>
    <row r="87" spans="1:1" x14ac:dyDescent="0.3">
      <c r="A87" s="9">
        <v>3.6</v>
      </c>
    </row>
    <row r="88" spans="1:1" x14ac:dyDescent="0.3">
      <c r="A88" s="9">
        <v>4</v>
      </c>
    </row>
    <row r="89" spans="1:1" x14ac:dyDescent="0.3">
      <c r="A89" s="9">
        <v>2.7</v>
      </c>
    </row>
    <row r="90" spans="1:1" x14ac:dyDescent="0.3">
      <c r="A90" s="9">
        <v>3.8</v>
      </c>
    </row>
    <row r="91" spans="1:1" x14ac:dyDescent="0.3">
      <c r="A91" s="9">
        <v>3.5</v>
      </c>
    </row>
    <row r="92" spans="1:1" x14ac:dyDescent="0.3">
      <c r="A92" s="9">
        <v>3.2</v>
      </c>
    </row>
    <row r="93" spans="1:1" x14ac:dyDescent="0.3">
      <c r="A93" s="9">
        <v>4.4000000000000004</v>
      </c>
    </row>
    <row r="94" spans="1:1" x14ac:dyDescent="0.3">
      <c r="A94" s="9">
        <v>2</v>
      </c>
    </row>
    <row r="95" spans="1:1" x14ac:dyDescent="0.3">
      <c r="A95" s="9">
        <v>3.4</v>
      </c>
    </row>
    <row r="96" spans="1:1" x14ac:dyDescent="0.3">
      <c r="A96" s="9">
        <v>3.1</v>
      </c>
    </row>
    <row r="97" spans="1:1" x14ac:dyDescent="0.3">
      <c r="A97" s="9">
        <v>2.9</v>
      </c>
    </row>
    <row r="98" spans="1:1" x14ac:dyDescent="0.3">
      <c r="A98" s="9">
        <v>4.5999999999999996</v>
      </c>
    </row>
    <row r="99" spans="1:1" x14ac:dyDescent="0.3">
      <c r="A99" s="9">
        <v>3.3</v>
      </c>
    </row>
    <row r="100" spans="1:1" ht="15" thickBot="1" x14ac:dyDescent="0.35">
      <c r="A100" s="10">
        <v>2.5</v>
      </c>
    </row>
    <row r="101" spans="1:1" x14ac:dyDescent="0.3">
      <c r="A101">
        <v>4.9000000000000004</v>
      </c>
    </row>
  </sheetData>
  <mergeCells count="1">
    <mergeCell ref="I2:N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06"/>
  <sheetViews>
    <sheetView workbookViewId="0">
      <selection activeCell="J2" sqref="J2:O2"/>
    </sheetView>
  </sheetViews>
  <sheetFormatPr defaultRowHeight="14.4" x14ac:dyDescent="0.3"/>
  <cols>
    <col min="2" max="2" width="16.5546875" bestFit="1" customWidth="1"/>
  </cols>
  <sheetData>
    <row r="1" spans="1:15" ht="15" thickBot="1" x14ac:dyDescent="0.35"/>
    <row r="2" spans="1:15" ht="18.600000000000001" thickBot="1" x14ac:dyDescent="0.4">
      <c r="J2" s="138" t="s">
        <v>105</v>
      </c>
      <c r="K2" s="139"/>
      <c r="L2" s="139"/>
      <c r="M2" s="139"/>
      <c r="N2" s="139"/>
      <c r="O2" s="140"/>
    </row>
    <row r="4" spans="1:15" ht="15" thickBot="1" x14ac:dyDescent="0.35"/>
    <row r="5" spans="1:15" ht="15" thickBot="1" x14ac:dyDescent="0.35">
      <c r="A5" s="91" t="s">
        <v>90</v>
      </c>
    </row>
    <row r="6" spans="1:15" x14ac:dyDescent="0.3">
      <c r="A6" s="9">
        <v>4</v>
      </c>
      <c r="B6" s="37" t="s">
        <v>90</v>
      </c>
      <c r="C6" s="38"/>
    </row>
    <row r="7" spans="1:15" x14ac:dyDescent="0.3">
      <c r="A7" s="9">
        <v>5</v>
      </c>
      <c r="B7" s="1"/>
      <c r="C7" s="2"/>
    </row>
    <row r="8" spans="1:15" x14ac:dyDescent="0.3">
      <c r="A8" s="9">
        <v>3</v>
      </c>
      <c r="B8" s="1" t="s">
        <v>6</v>
      </c>
      <c r="C8" s="2">
        <v>3.722772277227723</v>
      </c>
    </row>
    <row r="9" spans="1:15" x14ac:dyDescent="0.3">
      <c r="A9" s="9">
        <v>4</v>
      </c>
      <c r="B9" s="1" t="s">
        <v>7</v>
      </c>
      <c r="C9" s="2">
        <v>9.132556481267487E-2</v>
      </c>
    </row>
    <row r="10" spans="1:15" x14ac:dyDescent="0.3">
      <c r="A10" s="9">
        <v>4</v>
      </c>
      <c r="B10" s="1" t="s">
        <v>8</v>
      </c>
      <c r="C10" s="2">
        <v>4</v>
      </c>
    </row>
    <row r="11" spans="1:15" x14ac:dyDescent="0.3">
      <c r="A11" s="9">
        <v>3</v>
      </c>
      <c r="B11" s="1" t="s">
        <v>9</v>
      </c>
      <c r="C11" s="2">
        <v>4</v>
      </c>
    </row>
    <row r="12" spans="1:15" x14ac:dyDescent="0.3">
      <c r="A12" s="9">
        <v>2</v>
      </c>
      <c r="B12" s="1" t="s">
        <v>10</v>
      </c>
      <c r="C12" s="2">
        <v>0.91781056739599698</v>
      </c>
    </row>
    <row r="13" spans="1:15" x14ac:dyDescent="0.3">
      <c r="A13" s="9">
        <v>5</v>
      </c>
      <c r="B13" s="1" t="s">
        <v>11</v>
      </c>
      <c r="C13" s="2">
        <v>0.8423762376237619</v>
      </c>
    </row>
    <row r="14" spans="1:15" x14ac:dyDescent="0.3">
      <c r="A14" s="9">
        <v>4</v>
      </c>
      <c r="B14" s="30" t="s">
        <v>12</v>
      </c>
      <c r="C14" s="33">
        <v>-0.77197312085981729</v>
      </c>
    </row>
    <row r="15" spans="1:15" x14ac:dyDescent="0.3">
      <c r="A15" s="9">
        <v>3</v>
      </c>
      <c r="B15" s="30" t="s">
        <v>13</v>
      </c>
      <c r="C15" s="33">
        <v>-0.20834484098862932</v>
      </c>
    </row>
    <row r="16" spans="1:15" x14ac:dyDescent="0.3">
      <c r="A16" s="9">
        <v>5</v>
      </c>
      <c r="B16" s="1" t="s">
        <v>14</v>
      </c>
      <c r="C16" s="2">
        <v>3</v>
      </c>
    </row>
    <row r="17" spans="1:3" x14ac:dyDescent="0.3">
      <c r="A17" s="9">
        <v>4</v>
      </c>
      <c r="B17" s="1" t="s">
        <v>15</v>
      </c>
      <c r="C17" s="2">
        <v>2</v>
      </c>
    </row>
    <row r="18" spans="1:3" x14ac:dyDescent="0.3">
      <c r="A18" s="9">
        <v>2</v>
      </c>
      <c r="B18" s="1" t="s">
        <v>16</v>
      </c>
      <c r="C18" s="2">
        <v>5</v>
      </c>
    </row>
    <row r="19" spans="1:3" x14ac:dyDescent="0.3">
      <c r="A19" s="9">
        <v>3</v>
      </c>
      <c r="B19" s="1" t="s">
        <v>17</v>
      </c>
      <c r="C19" s="2">
        <v>376</v>
      </c>
    </row>
    <row r="20" spans="1:3" ht="15" thickBot="1" x14ac:dyDescent="0.35">
      <c r="A20" s="9">
        <v>4</v>
      </c>
      <c r="B20" s="3" t="s">
        <v>18</v>
      </c>
      <c r="C20" s="4">
        <v>101</v>
      </c>
    </row>
    <row r="21" spans="1:3" x14ac:dyDescent="0.3">
      <c r="A21" s="9">
        <v>5</v>
      </c>
    </row>
    <row r="22" spans="1:3" x14ac:dyDescent="0.3">
      <c r="A22" s="9">
        <v>3</v>
      </c>
    </row>
    <row r="23" spans="1:3" x14ac:dyDescent="0.3">
      <c r="A23" s="9">
        <v>4</v>
      </c>
    </row>
    <row r="24" spans="1:3" x14ac:dyDescent="0.3">
      <c r="A24" s="9">
        <v>5</v>
      </c>
    </row>
    <row r="25" spans="1:3" x14ac:dyDescent="0.3">
      <c r="A25" s="9">
        <v>3</v>
      </c>
    </row>
    <row r="26" spans="1:3" x14ac:dyDescent="0.3">
      <c r="A26" s="9">
        <v>4</v>
      </c>
    </row>
    <row r="27" spans="1:3" x14ac:dyDescent="0.3">
      <c r="A27" s="9">
        <v>3</v>
      </c>
    </row>
    <row r="28" spans="1:3" x14ac:dyDescent="0.3">
      <c r="A28" s="9">
        <v>2</v>
      </c>
    </row>
    <row r="29" spans="1:3" x14ac:dyDescent="0.3">
      <c r="A29" s="9">
        <v>4</v>
      </c>
    </row>
    <row r="30" spans="1:3" x14ac:dyDescent="0.3">
      <c r="A30" s="9">
        <v>5</v>
      </c>
    </row>
    <row r="31" spans="1:3" x14ac:dyDescent="0.3">
      <c r="A31" s="9">
        <v>3</v>
      </c>
    </row>
    <row r="32" spans="1:3" x14ac:dyDescent="0.3">
      <c r="A32" s="9">
        <v>4</v>
      </c>
    </row>
    <row r="33" spans="1:1" x14ac:dyDescent="0.3">
      <c r="A33" s="9">
        <v>5</v>
      </c>
    </row>
    <row r="34" spans="1:1" x14ac:dyDescent="0.3">
      <c r="A34" s="9">
        <v>4</v>
      </c>
    </row>
    <row r="35" spans="1:1" x14ac:dyDescent="0.3">
      <c r="A35" s="9">
        <v>3</v>
      </c>
    </row>
    <row r="36" spans="1:1" x14ac:dyDescent="0.3">
      <c r="A36" s="9">
        <v>3</v>
      </c>
    </row>
    <row r="37" spans="1:1" x14ac:dyDescent="0.3">
      <c r="A37" s="9">
        <v>4</v>
      </c>
    </row>
    <row r="38" spans="1:1" x14ac:dyDescent="0.3">
      <c r="A38" s="9">
        <v>5</v>
      </c>
    </row>
    <row r="39" spans="1:1" x14ac:dyDescent="0.3">
      <c r="A39" s="9">
        <v>2</v>
      </c>
    </row>
    <row r="40" spans="1:1" x14ac:dyDescent="0.3">
      <c r="A40" s="9">
        <v>3</v>
      </c>
    </row>
    <row r="41" spans="1:1" x14ac:dyDescent="0.3">
      <c r="A41" s="9">
        <v>4</v>
      </c>
    </row>
    <row r="42" spans="1:1" x14ac:dyDescent="0.3">
      <c r="A42" s="9">
        <v>4</v>
      </c>
    </row>
    <row r="43" spans="1:1" x14ac:dyDescent="0.3">
      <c r="A43" s="9">
        <v>3</v>
      </c>
    </row>
    <row r="44" spans="1:1" x14ac:dyDescent="0.3">
      <c r="A44" s="9">
        <v>5</v>
      </c>
    </row>
    <row r="45" spans="1:1" x14ac:dyDescent="0.3">
      <c r="A45" s="9">
        <v>4</v>
      </c>
    </row>
    <row r="46" spans="1:1" x14ac:dyDescent="0.3">
      <c r="A46" s="9">
        <v>3</v>
      </c>
    </row>
    <row r="47" spans="1:1" x14ac:dyDescent="0.3">
      <c r="A47" s="9">
        <v>4</v>
      </c>
    </row>
    <row r="48" spans="1:1" x14ac:dyDescent="0.3">
      <c r="A48" s="9">
        <v>5</v>
      </c>
    </row>
    <row r="49" spans="1:1" x14ac:dyDescent="0.3">
      <c r="A49" s="9">
        <v>4</v>
      </c>
    </row>
    <row r="50" spans="1:1" x14ac:dyDescent="0.3">
      <c r="A50" s="9">
        <v>2</v>
      </c>
    </row>
    <row r="51" spans="1:1" x14ac:dyDescent="0.3">
      <c r="A51" s="9">
        <v>3</v>
      </c>
    </row>
    <row r="52" spans="1:1" x14ac:dyDescent="0.3">
      <c r="A52" s="9">
        <v>4</v>
      </c>
    </row>
    <row r="53" spans="1:1" x14ac:dyDescent="0.3">
      <c r="A53" s="9">
        <v>5</v>
      </c>
    </row>
    <row r="54" spans="1:1" x14ac:dyDescent="0.3">
      <c r="A54" s="9">
        <v>4</v>
      </c>
    </row>
    <row r="55" spans="1:1" x14ac:dyDescent="0.3">
      <c r="A55" s="9">
        <v>3</v>
      </c>
    </row>
    <row r="56" spans="1:1" x14ac:dyDescent="0.3">
      <c r="A56" s="9">
        <v>3</v>
      </c>
    </row>
    <row r="57" spans="1:1" x14ac:dyDescent="0.3">
      <c r="A57" s="9">
        <v>4</v>
      </c>
    </row>
    <row r="58" spans="1:1" x14ac:dyDescent="0.3">
      <c r="A58" s="9">
        <v>5</v>
      </c>
    </row>
    <row r="59" spans="1:1" x14ac:dyDescent="0.3">
      <c r="A59" s="9">
        <v>2</v>
      </c>
    </row>
    <row r="60" spans="1:1" x14ac:dyDescent="0.3">
      <c r="A60" s="9">
        <v>3</v>
      </c>
    </row>
    <row r="61" spans="1:1" x14ac:dyDescent="0.3">
      <c r="A61" s="9">
        <v>4</v>
      </c>
    </row>
    <row r="62" spans="1:1" x14ac:dyDescent="0.3">
      <c r="A62" s="9">
        <v>4</v>
      </c>
    </row>
    <row r="63" spans="1:1" x14ac:dyDescent="0.3">
      <c r="A63" s="9">
        <v>3</v>
      </c>
    </row>
    <row r="64" spans="1:1" x14ac:dyDescent="0.3">
      <c r="A64" s="9">
        <v>5</v>
      </c>
    </row>
    <row r="65" spans="1:1" x14ac:dyDescent="0.3">
      <c r="A65" s="9">
        <v>4</v>
      </c>
    </row>
    <row r="66" spans="1:1" x14ac:dyDescent="0.3">
      <c r="A66" s="9">
        <v>3</v>
      </c>
    </row>
    <row r="67" spans="1:1" x14ac:dyDescent="0.3">
      <c r="A67" s="9">
        <v>4</v>
      </c>
    </row>
    <row r="68" spans="1:1" x14ac:dyDescent="0.3">
      <c r="A68" s="9">
        <v>5</v>
      </c>
    </row>
    <row r="69" spans="1:1" x14ac:dyDescent="0.3">
      <c r="A69" s="9">
        <v>4</v>
      </c>
    </row>
    <row r="70" spans="1:1" x14ac:dyDescent="0.3">
      <c r="A70" s="9">
        <v>3</v>
      </c>
    </row>
    <row r="71" spans="1:1" x14ac:dyDescent="0.3">
      <c r="A71" s="9">
        <v>4</v>
      </c>
    </row>
    <row r="72" spans="1:1" x14ac:dyDescent="0.3">
      <c r="A72" s="9">
        <v>5</v>
      </c>
    </row>
    <row r="73" spans="1:1" x14ac:dyDescent="0.3">
      <c r="A73" s="9">
        <v>2</v>
      </c>
    </row>
    <row r="74" spans="1:1" x14ac:dyDescent="0.3">
      <c r="A74" s="9">
        <v>4</v>
      </c>
    </row>
    <row r="75" spans="1:1" x14ac:dyDescent="0.3">
      <c r="A75" s="9">
        <v>5</v>
      </c>
    </row>
    <row r="76" spans="1:1" x14ac:dyDescent="0.3">
      <c r="A76" s="9">
        <v>4</v>
      </c>
    </row>
    <row r="77" spans="1:1" x14ac:dyDescent="0.3">
      <c r="A77" s="9">
        <v>3</v>
      </c>
    </row>
    <row r="78" spans="1:1" x14ac:dyDescent="0.3">
      <c r="A78" s="9">
        <v>4</v>
      </c>
    </row>
    <row r="79" spans="1:1" x14ac:dyDescent="0.3">
      <c r="A79" s="9">
        <v>5</v>
      </c>
    </row>
    <row r="80" spans="1:1" x14ac:dyDescent="0.3">
      <c r="A80" s="9">
        <v>3</v>
      </c>
    </row>
    <row r="81" spans="1:1" x14ac:dyDescent="0.3">
      <c r="A81" s="9">
        <v>4</v>
      </c>
    </row>
    <row r="82" spans="1:1" x14ac:dyDescent="0.3">
      <c r="A82" s="9">
        <v>5</v>
      </c>
    </row>
    <row r="83" spans="1:1" x14ac:dyDescent="0.3">
      <c r="A83" s="9">
        <v>4</v>
      </c>
    </row>
    <row r="84" spans="1:1" x14ac:dyDescent="0.3">
      <c r="A84" s="9">
        <v>3</v>
      </c>
    </row>
    <row r="85" spans="1:1" x14ac:dyDescent="0.3">
      <c r="A85" s="9">
        <v>3</v>
      </c>
    </row>
    <row r="86" spans="1:1" x14ac:dyDescent="0.3">
      <c r="A86" s="9">
        <v>4</v>
      </c>
    </row>
    <row r="87" spans="1:1" x14ac:dyDescent="0.3">
      <c r="A87" s="9">
        <v>5</v>
      </c>
    </row>
    <row r="88" spans="1:1" x14ac:dyDescent="0.3">
      <c r="A88" s="9">
        <v>2</v>
      </c>
    </row>
    <row r="89" spans="1:1" x14ac:dyDescent="0.3">
      <c r="A89" s="9">
        <v>3</v>
      </c>
    </row>
    <row r="90" spans="1:1" x14ac:dyDescent="0.3">
      <c r="A90" s="9">
        <v>4</v>
      </c>
    </row>
    <row r="91" spans="1:1" x14ac:dyDescent="0.3">
      <c r="A91" s="9">
        <v>4</v>
      </c>
    </row>
    <row r="92" spans="1:1" x14ac:dyDescent="0.3">
      <c r="A92" s="9">
        <v>3</v>
      </c>
    </row>
    <row r="93" spans="1:1" x14ac:dyDescent="0.3">
      <c r="A93" s="9">
        <v>5</v>
      </c>
    </row>
    <row r="94" spans="1:1" x14ac:dyDescent="0.3">
      <c r="A94" s="9">
        <v>4</v>
      </c>
    </row>
    <row r="95" spans="1:1" x14ac:dyDescent="0.3">
      <c r="A95" s="9">
        <v>3</v>
      </c>
    </row>
    <row r="96" spans="1:1" x14ac:dyDescent="0.3">
      <c r="A96" s="9">
        <v>4</v>
      </c>
    </row>
    <row r="97" spans="1:1" x14ac:dyDescent="0.3">
      <c r="A97" s="9">
        <v>3</v>
      </c>
    </row>
    <row r="98" spans="1:1" x14ac:dyDescent="0.3">
      <c r="A98" s="9">
        <v>4</v>
      </c>
    </row>
    <row r="99" spans="1:1" x14ac:dyDescent="0.3">
      <c r="A99" s="9">
        <v>2</v>
      </c>
    </row>
    <row r="100" spans="1:1" x14ac:dyDescent="0.3">
      <c r="A100" s="9">
        <v>3</v>
      </c>
    </row>
    <row r="101" spans="1:1" x14ac:dyDescent="0.3">
      <c r="A101" s="9">
        <v>4</v>
      </c>
    </row>
    <row r="102" spans="1:1" x14ac:dyDescent="0.3">
      <c r="A102" s="9">
        <v>5</v>
      </c>
    </row>
    <row r="103" spans="1:1" x14ac:dyDescent="0.3">
      <c r="A103" s="9">
        <v>3</v>
      </c>
    </row>
    <row r="104" spans="1:1" x14ac:dyDescent="0.3">
      <c r="A104" s="9">
        <v>4</v>
      </c>
    </row>
    <row r="105" spans="1:1" x14ac:dyDescent="0.3">
      <c r="A105" s="9">
        <v>5</v>
      </c>
    </row>
    <row r="106" spans="1:1" ht="15" thickBot="1" x14ac:dyDescent="0.35">
      <c r="A106" s="10">
        <v>2</v>
      </c>
    </row>
  </sheetData>
  <mergeCells count="1">
    <mergeCell ref="J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5"/>
  <sheetViews>
    <sheetView workbookViewId="0">
      <selection activeCell="B14" sqref="B14:C15"/>
    </sheetView>
  </sheetViews>
  <sheetFormatPr defaultRowHeight="14.4" x14ac:dyDescent="0.3"/>
  <cols>
    <col min="1" max="1" width="18.88671875" bestFit="1" customWidth="1"/>
    <col min="2" max="2" width="16.5546875" bestFit="1" customWidth="1"/>
  </cols>
  <sheetData>
    <row r="1" spans="1:15" ht="15" thickBot="1" x14ac:dyDescent="0.35"/>
    <row r="2" spans="1:15" ht="18.600000000000001" thickBot="1" x14ac:dyDescent="0.4">
      <c r="I2" s="138" t="s">
        <v>107</v>
      </c>
      <c r="J2" s="139"/>
      <c r="K2" s="139"/>
      <c r="L2" s="139"/>
      <c r="M2" s="139"/>
      <c r="N2" s="139"/>
      <c r="O2" s="140"/>
    </row>
    <row r="4" spans="1:15" ht="15" thickBot="1" x14ac:dyDescent="0.35"/>
    <row r="5" spans="1:15" ht="15" thickBot="1" x14ac:dyDescent="0.35">
      <c r="A5" s="91" t="s">
        <v>106</v>
      </c>
    </row>
    <row r="6" spans="1:15" ht="15" thickBot="1" x14ac:dyDescent="0.35">
      <c r="A6" s="9">
        <v>280</v>
      </c>
      <c r="B6" s="115" t="s">
        <v>106</v>
      </c>
      <c r="C6" s="116"/>
    </row>
    <row r="7" spans="1:15" x14ac:dyDescent="0.3">
      <c r="A7" s="9">
        <v>350</v>
      </c>
      <c r="B7" s="1"/>
      <c r="C7" s="2"/>
    </row>
    <row r="8" spans="1:15" x14ac:dyDescent="0.3">
      <c r="A8" s="9">
        <v>310</v>
      </c>
      <c r="B8" s="1" t="s">
        <v>6</v>
      </c>
      <c r="C8" s="2">
        <v>317.7</v>
      </c>
    </row>
    <row r="9" spans="1:15" x14ac:dyDescent="0.3">
      <c r="A9" s="9">
        <v>270</v>
      </c>
      <c r="B9" s="1" t="s">
        <v>7</v>
      </c>
      <c r="C9" s="2">
        <v>3.234457786355724</v>
      </c>
    </row>
    <row r="10" spans="1:15" x14ac:dyDescent="0.3">
      <c r="A10" s="9">
        <v>390</v>
      </c>
      <c r="B10" s="1" t="s">
        <v>8</v>
      </c>
      <c r="C10" s="2">
        <v>315</v>
      </c>
    </row>
    <row r="11" spans="1:15" x14ac:dyDescent="0.3">
      <c r="A11" s="9">
        <v>320</v>
      </c>
      <c r="B11" s="1" t="s">
        <v>9</v>
      </c>
      <c r="C11" s="2">
        <v>350</v>
      </c>
    </row>
    <row r="12" spans="1:15" x14ac:dyDescent="0.3">
      <c r="A12" s="9">
        <v>290</v>
      </c>
      <c r="B12" s="1" t="s">
        <v>10</v>
      </c>
      <c r="C12" s="2">
        <v>32.344577863557241</v>
      </c>
    </row>
    <row r="13" spans="1:15" x14ac:dyDescent="0.3">
      <c r="A13" s="9">
        <v>340</v>
      </c>
      <c r="B13" s="1" t="s">
        <v>11</v>
      </c>
      <c r="C13" s="2">
        <v>1046.1717171717171</v>
      </c>
    </row>
    <row r="14" spans="1:15" x14ac:dyDescent="0.3">
      <c r="A14" s="9">
        <v>310</v>
      </c>
      <c r="B14" s="30" t="s">
        <v>12</v>
      </c>
      <c r="C14" s="33">
        <v>-1.0374244845101974</v>
      </c>
    </row>
    <row r="15" spans="1:15" x14ac:dyDescent="0.3">
      <c r="A15" s="9">
        <v>380</v>
      </c>
      <c r="B15" s="30" t="s">
        <v>13</v>
      </c>
      <c r="C15" s="33">
        <v>0.2092186247974063</v>
      </c>
    </row>
    <row r="16" spans="1:15" x14ac:dyDescent="0.3">
      <c r="A16" s="9">
        <v>270</v>
      </c>
      <c r="B16" s="1" t="s">
        <v>14</v>
      </c>
      <c r="C16" s="2">
        <v>120</v>
      </c>
    </row>
    <row r="17" spans="1:3" x14ac:dyDescent="0.3">
      <c r="A17" s="9">
        <v>350</v>
      </c>
      <c r="B17" s="1" t="s">
        <v>15</v>
      </c>
      <c r="C17" s="2">
        <v>270</v>
      </c>
    </row>
    <row r="18" spans="1:3" x14ac:dyDescent="0.3">
      <c r="A18" s="9">
        <v>300</v>
      </c>
      <c r="B18" s="1" t="s">
        <v>16</v>
      </c>
      <c r="C18" s="2">
        <v>390</v>
      </c>
    </row>
    <row r="19" spans="1:3" x14ac:dyDescent="0.3">
      <c r="A19" s="9">
        <v>330</v>
      </c>
      <c r="B19" s="1" t="s">
        <v>17</v>
      </c>
      <c r="C19" s="2">
        <v>31770</v>
      </c>
    </row>
    <row r="20" spans="1:3" ht="15" thickBot="1" x14ac:dyDescent="0.35">
      <c r="A20" s="9">
        <v>370</v>
      </c>
      <c r="B20" s="3" t="s">
        <v>18</v>
      </c>
      <c r="C20" s="4">
        <v>100</v>
      </c>
    </row>
    <row r="21" spans="1:3" x14ac:dyDescent="0.3">
      <c r="A21" s="9">
        <v>310</v>
      </c>
    </row>
    <row r="22" spans="1:3" x14ac:dyDescent="0.3">
      <c r="A22" s="9">
        <v>280</v>
      </c>
    </row>
    <row r="23" spans="1:3" x14ac:dyDescent="0.3">
      <c r="A23" s="9">
        <v>320</v>
      </c>
    </row>
    <row r="24" spans="1:3" x14ac:dyDescent="0.3">
      <c r="A24" s="9">
        <v>350</v>
      </c>
    </row>
    <row r="25" spans="1:3" x14ac:dyDescent="0.3">
      <c r="A25" s="9">
        <v>290</v>
      </c>
    </row>
    <row r="26" spans="1:3" x14ac:dyDescent="0.3">
      <c r="A26" s="9">
        <v>270</v>
      </c>
    </row>
    <row r="27" spans="1:3" x14ac:dyDescent="0.3">
      <c r="A27" s="9">
        <v>350</v>
      </c>
    </row>
    <row r="28" spans="1:3" x14ac:dyDescent="0.3">
      <c r="A28" s="9">
        <v>300</v>
      </c>
    </row>
    <row r="29" spans="1:3" x14ac:dyDescent="0.3">
      <c r="A29" s="9">
        <v>330</v>
      </c>
    </row>
    <row r="30" spans="1:3" x14ac:dyDescent="0.3">
      <c r="A30" s="9">
        <v>370</v>
      </c>
    </row>
    <row r="31" spans="1:3" x14ac:dyDescent="0.3">
      <c r="A31" s="9">
        <v>310</v>
      </c>
    </row>
    <row r="32" spans="1:3" x14ac:dyDescent="0.3">
      <c r="A32" s="9">
        <v>280</v>
      </c>
    </row>
    <row r="33" spans="1:1" x14ac:dyDescent="0.3">
      <c r="A33" s="9">
        <v>320</v>
      </c>
    </row>
    <row r="34" spans="1:1" x14ac:dyDescent="0.3">
      <c r="A34" s="9">
        <v>350</v>
      </c>
    </row>
    <row r="35" spans="1:1" x14ac:dyDescent="0.3">
      <c r="A35" s="9">
        <v>290</v>
      </c>
    </row>
    <row r="36" spans="1:1" x14ac:dyDescent="0.3">
      <c r="A36" s="9">
        <v>270</v>
      </c>
    </row>
    <row r="37" spans="1:1" x14ac:dyDescent="0.3">
      <c r="A37" s="9">
        <v>350</v>
      </c>
    </row>
    <row r="38" spans="1:1" x14ac:dyDescent="0.3">
      <c r="A38" s="9">
        <v>300</v>
      </c>
    </row>
    <row r="39" spans="1:1" x14ac:dyDescent="0.3">
      <c r="A39" s="9">
        <v>330</v>
      </c>
    </row>
    <row r="40" spans="1:1" x14ac:dyDescent="0.3">
      <c r="A40" s="9">
        <v>370</v>
      </c>
    </row>
    <row r="41" spans="1:1" x14ac:dyDescent="0.3">
      <c r="A41" s="9">
        <v>310</v>
      </c>
    </row>
    <row r="42" spans="1:1" x14ac:dyDescent="0.3">
      <c r="A42" s="9">
        <v>280</v>
      </c>
    </row>
    <row r="43" spans="1:1" x14ac:dyDescent="0.3">
      <c r="A43" s="9">
        <v>320</v>
      </c>
    </row>
    <row r="44" spans="1:1" x14ac:dyDescent="0.3">
      <c r="A44" s="9">
        <v>350</v>
      </c>
    </row>
    <row r="45" spans="1:1" x14ac:dyDescent="0.3">
      <c r="A45" s="9">
        <v>290</v>
      </c>
    </row>
    <row r="46" spans="1:1" x14ac:dyDescent="0.3">
      <c r="A46" s="9">
        <v>270</v>
      </c>
    </row>
    <row r="47" spans="1:1" x14ac:dyDescent="0.3">
      <c r="A47" s="9">
        <v>350</v>
      </c>
    </row>
    <row r="48" spans="1:1" x14ac:dyDescent="0.3">
      <c r="A48" s="9">
        <v>300</v>
      </c>
    </row>
    <row r="49" spans="1:1" x14ac:dyDescent="0.3">
      <c r="A49" s="9">
        <v>330</v>
      </c>
    </row>
    <row r="50" spans="1:1" x14ac:dyDescent="0.3">
      <c r="A50" s="9">
        <v>370</v>
      </c>
    </row>
    <row r="51" spans="1:1" x14ac:dyDescent="0.3">
      <c r="A51" s="9">
        <v>310</v>
      </c>
    </row>
    <row r="52" spans="1:1" x14ac:dyDescent="0.3">
      <c r="A52" s="9">
        <v>280</v>
      </c>
    </row>
    <row r="53" spans="1:1" x14ac:dyDescent="0.3">
      <c r="A53" s="9">
        <v>320</v>
      </c>
    </row>
    <row r="54" spans="1:1" x14ac:dyDescent="0.3">
      <c r="A54" s="9">
        <v>350</v>
      </c>
    </row>
    <row r="55" spans="1:1" x14ac:dyDescent="0.3">
      <c r="A55" s="9">
        <v>290</v>
      </c>
    </row>
    <row r="56" spans="1:1" x14ac:dyDescent="0.3">
      <c r="A56" s="9">
        <v>270</v>
      </c>
    </row>
    <row r="57" spans="1:1" x14ac:dyDescent="0.3">
      <c r="A57" s="9">
        <v>350</v>
      </c>
    </row>
    <row r="58" spans="1:1" x14ac:dyDescent="0.3">
      <c r="A58" s="9">
        <v>300</v>
      </c>
    </row>
    <row r="59" spans="1:1" x14ac:dyDescent="0.3">
      <c r="A59" s="9">
        <v>330</v>
      </c>
    </row>
    <row r="60" spans="1:1" x14ac:dyDescent="0.3">
      <c r="A60" s="9">
        <v>370</v>
      </c>
    </row>
    <row r="61" spans="1:1" x14ac:dyDescent="0.3">
      <c r="A61" s="9">
        <v>310</v>
      </c>
    </row>
    <row r="62" spans="1:1" x14ac:dyDescent="0.3">
      <c r="A62" s="9">
        <v>280</v>
      </c>
    </row>
    <row r="63" spans="1:1" x14ac:dyDescent="0.3">
      <c r="A63" s="9">
        <v>320</v>
      </c>
    </row>
    <row r="64" spans="1:1" x14ac:dyDescent="0.3">
      <c r="A64" s="9">
        <v>350</v>
      </c>
    </row>
    <row r="65" spans="1:1" x14ac:dyDescent="0.3">
      <c r="A65" s="9">
        <v>290</v>
      </c>
    </row>
    <row r="66" spans="1:1" x14ac:dyDescent="0.3">
      <c r="A66" s="9">
        <v>270</v>
      </c>
    </row>
    <row r="67" spans="1:1" x14ac:dyDescent="0.3">
      <c r="A67" s="9">
        <v>350</v>
      </c>
    </row>
    <row r="68" spans="1:1" x14ac:dyDescent="0.3">
      <c r="A68" s="9">
        <v>300</v>
      </c>
    </row>
    <row r="69" spans="1:1" x14ac:dyDescent="0.3">
      <c r="A69" s="9">
        <v>330</v>
      </c>
    </row>
    <row r="70" spans="1:1" x14ac:dyDescent="0.3">
      <c r="A70" s="9">
        <v>370</v>
      </c>
    </row>
    <row r="71" spans="1:1" x14ac:dyDescent="0.3">
      <c r="A71" s="9">
        <v>310</v>
      </c>
    </row>
    <row r="72" spans="1:1" x14ac:dyDescent="0.3">
      <c r="A72" s="9">
        <v>280</v>
      </c>
    </row>
    <row r="73" spans="1:1" x14ac:dyDescent="0.3">
      <c r="A73" s="9">
        <v>320</v>
      </c>
    </row>
    <row r="74" spans="1:1" x14ac:dyDescent="0.3">
      <c r="A74" s="9">
        <v>350</v>
      </c>
    </row>
    <row r="75" spans="1:1" x14ac:dyDescent="0.3">
      <c r="A75" s="9">
        <v>290</v>
      </c>
    </row>
    <row r="76" spans="1:1" x14ac:dyDescent="0.3">
      <c r="A76" s="9">
        <v>270</v>
      </c>
    </row>
    <row r="77" spans="1:1" x14ac:dyDescent="0.3">
      <c r="A77" s="9">
        <v>350</v>
      </c>
    </row>
    <row r="78" spans="1:1" x14ac:dyDescent="0.3">
      <c r="A78" s="9">
        <v>300</v>
      </c>
    </row>
    <row r="79" spans="1:1" x14ac:dyDescent="0.3">
      <c r="A79" s="9">
        <v>330</v>
      </c>
    </row>
    <row r="80" spans="1:1" x14ac:dyDescent="0.3">
      <c r="A80" s="9">
        <v>370</v>
      </c>
    </row>
    <row r="81" spans="1:1" x14ac:dyDescent="0.3">
      <c r="A81" s="9">
        <v>310</v>
      </c>
    </row>
    <row r="82" spans="1:1" x14ac:dyDescent="0.3">
      <c r="A82" s="9">
        <v>280</v>
      </c>
    </row>
    <row r="83" spans="1:1" x14ac:dyDescent="0.3">
      <c r="A83" s="9">
        <v>320</v>
      </c>
    </row>
    <row r="84" spans="1:1" x14ac:dyDescent="0.3">
      <c r="A84" s="9">
        <v>350</v>
      </c>
    </row>
    <row r="85" spans="1:1" x14ac:dyDescent="0.3">
      <c r="A85" s="9">
        <v>290</v>
      </c>
    </row>
    <row r="86" spans="1:1" x14ac:dyDescent="0.3">
      <c r="A86" s="9">
        <v>270</v>
      </c>
    </row>
    <row r="87" spans="1:1" x14ac:dyDescent="0.3">
      <c r="A87" s="9">
        <v>350</v>
      </c>
    </row>
    <row r="88" spans="1:1" x14ac:dyDescent="0.3">
      <c r="A88" s="9">
        <v>300</v>
      </c>
    </row>
    <row r="89" spans="1:1" x14ac:dyDescent="0.3">
      <c r="A89" s="9">
        <v>330</v>
      </c>
    </row>
    <row r="90" spans="1:1" x14ac:dyDescent="0.3">
      <c r="A90" s="9">
        <v>370</v>
      </c>
    </row>
    <row r="91" spans="1:1" x14ac:dyDescent="0.3">
      <c r="A91" s="9">
        <v>310</v>
      </c>
    </row>
    <row r="92" spans="1:1" x14ac:dyDescent="0.3">
      <c r="A92" s="9">
        <v>280</v>
      </c>
    </row>
    <row r="93" spans="1:1" x14ac:dyDescent="0.3">
      <c r="A93" s="9">
        <v>320</v>
      </c>
    </row>
    <row r="94" spans="1:1" x14ac:dyDescent="0.3">
      <c r="A94" s="9">
        <v>350</v>
      </c>
    </row>
    <row r="95" spans="1:1" x14ac:dyDescent="0.3">
      <c r="A95" s="9">
        <v>290</v>
      </c>
    </row>
    <row r="96" spans="1:1" x14ac:dyDescent="0.3">
      <c r="A96" s="9">
        <v>270</v>
      </c>
    </row>
    <row r="97" spans="1:1" x14ac:dyDescent="0.3">
      <c r="A97" s="9">
        <v>350</v>
      </c>
    </row>
    <row r="98" spans="1:1" x14ac:dyDescent="0.3">
      <c r="A98" s="9">
        <v>300</v>
      </c>
    </row>
    <row r="99" spans="1:1" x14ac:dyDescent="0.3">
      <c r="A99" s="9">
        <v>330</v>
      </c>
    </row>
    <row r="100" spans="1:1" x14ac:dyDescent="0.3">
      <c r="A100" s="9">
        <v>370</v>
      </c>
    </row>
    <row r="101" spans="1:1" x14ac:dyDescent="0.3">
      <c r="A101" s="9">
        <v>310</v>
      </c>
    </row>
    <row r="102" spans="1:1" x14ac:dyDescent="0.3">
      <c r="A102" s="9">
        <v>280</v>
      </c>
    </row>
    <row r="103" spans="1:1" x14ac:dyDescent="0.3">
      <c r="A103" s="9">
        <v>320</v>
      </c>
    </row>
    <row r="104" spans="1:1" x14ac:dyDescent="0.3">
      <c r="A104" s="9">
        <v>350</v>
      </c>
    </row>
    <row r="105" spans="1:1" ht="15" thickBot="1" x14ac:dyDescent="0.35">
      <c r="A105" s="10">
        <v>290</v>
      </c>
    </row>
  </sheetData>
  <mergeCells count="1">
    <mergeCell ref="I2:O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Q55"/>
  <sheetViews>
    <sheetView workbookViewId="0">
      <selection activeCell="G12" sqref="G12"/>
    </sheetView>
  </sheetViews>
  <sheetFormatPr defaultRowHeight="14.4" x14ac:dyDescent="0.3"/>
  <cols>
    <col min="1" max="1" width="26.6640625" bestFit="1" customWidth="1"/>
    <col min="3" max="3" width="16.5546875" bestFit="1" customWidth="1"/>
    <col min="4" max="4" width="16.44140625" customWidth="1"/>
    <col min="7" max="7" width="18.44140625" bestFit="1" customWidth="1"/>
  </cols>
  <sheetData>
    <row r="2" spans="1:17" ht="18.600000000000001" thickBot="1" x14ac:dyDescent="0.4">
      <c r="H2" s="141" t="s">
        <v>72</v>
      </c>
      <c r="I2" s="142"/>
      <c r="J2" s="142"/>
      <c r="K2" s="142"/>
      <c r="L2" s="142"/>
      <c r="M2" s="142"/>
      <c r="N2" s="142"/>
      <c r="O2" s="142"/>
      <c r="P2" s="142"/>
      <c r="Q2" s="142"/>
    </row>
    <row r="4" spans="1:17" ht="15" thickBot="1" x14ac:dyDescent="0.35">
      <c r="I4" s="135" t="s">
        <v>78</v>
      </c>
      <c r="J4" s="135"/>
    </row>
    <row r="5" spans="1:17" ht="15" thickBot="1" x14ac:dyDescent="0.35">
      <c r="A5" s="83" t="s">
        <v>73</v>
      </c>
      <c r="C5" s="88" t="s">
        <v>73</v>
      </c>
      <c r="D5" s="89"/>
      <c r="F5" s="86"/>
      <c r="G5" s="87" t="s">
        <v>74</v>
      </c>
      <c r="I5" s="96" t="s">
        <v>75</v>
      </c>
      <c r="J5" s="97" t="s">
        <v>77</v>
      </c>
    </row>
    <row r="6" spans="1:17" x14ac:dyDescent="0.3">
      <c r="A6" s="9">
        <v>56</v>
      </c>
      <c r="C6" s="1"/>
      <c r="D6" s="2"/>
      <c r="F6" s="84" t="s">
        <v>71</v>
      </c>
      <c r="G6" s="2">
        <v>50</v>
      </c>
      <c r="I6" s="1">
        <v>28</v>
      </c>
      <c r="J6" s="2">
        <v>1</v>
      </c>
    </row>
    <row r="7" spans="1:17" x14ac:dyDescent="0.3">
      <c r="A7" s="9">
        <v>40</v>
      </c>
      <c r="C7" s="1" t="s">
        <v>6</v>
      </c>
      <c r="D7" s="2">
        <v>50.7</v>
      </c>
      <c r="F7" s="84" t="s">
        <v>70</v>
      </c>
      <c r="G7" s="2">
        <v>40</v>
      </c>
      <c r="I7" s="1">
        <v>34.428571428571431</v>
      </c>
      <c r="J7" s="2">
        <v>0</v>
      </c>
    </row>
    <row r="8" spans="1:17" ht="15" thickBot="1" x14ac:dyDescent="0.35">
      <c r="A8" s="9">
        <v>28</v>
      </c>
      <c r="C8" s="1" t="s">
        <v>7</v>
      </c>
      <c r="D8" s="2">
        <v>1.3959854978487711</v>
      </c>
      <c r="F8" s="85" t="s">
        <v>65</v>
      </c>
      <c r="G8" s="4">
        <v>45</v>
      </c>
      <c r="I8" s="1">
        <v>40.857142857142861</v>
      </c>
      <c r="J8" s="2">
        <v>8</v>
      </c>
    </row>
    <row r="9" spans="1:17" x14ac:dyDescent="0.3">
      <c r="A9" s="9">
        <v>73</v>
      </c>
      <c r="C9" s="79" t="s">
        <v>8</v>
      </c>
      <c r="D9" s="82">
        <v>50</v>
      </c>
      <c r="I9" s="1">
        <v>47.285714285714285</v>
      </c>
      <c r="J9" s="2">
        <v>11</v>
      </c>
    </row>
    <row r="10" spans="1:17" x14ac:dyDescent="0.3">
      <c r="A10" s="9">
        <v>52</v>
      </c>
      <c r="C10" s="79" t="s">
        <v>9</v>
      </c>
      <c r="D10" s="82">
        <v>40</v>
      </c>
      <c r="I10" s="1">
        <v>53.714285714285715</v>
      </c>
      <c r="J10" s="2">
        <v>10</v>
      </c>
    </row>
    <row r="11" spans="1:17" x14ac:dyDescent="0.3">
      <c r="A11" s="9">
        <v>61</v>
      </c>
      <c r="C11" s="1" t="s">
        <v>10</v>
      </c>
      <c r="D11" s="2">
        <v>9.8711081196694472</v>
      </c>
      <c r="I11" s="1">
        <v>60.142857142857146</v>
      </c>
      <c r="J11" s="2">
        <v>11</v>
      </c>
    </row>
    <row r="12" spans="1:17" x14ac:dyDescent="0.3">
      <c r="A12" s="9">
        <v>35</v>
      </c>
      <c r="C12" s="1" t="s">
        <v>11</v>
      </c>
      <c r="D12" s="2">
        <v>97.438775510204081</v>
      </c>
      <c r="I12" s="1">
        <v>66.571428571428569</v>
      </c>
      <c r="J12" s="2">
        <v>7</v>
      </c>
    </row>
    <row r="13" spans="1:17" ht="15" thickBot="1" x14ac:dyDescent="0.35">
      <c r="A13" s="9">
        <v>40</v>
      </c>
      <c r="C13" s="1" t="s">
        <v>12</v>
      </c>
      <c r="D13" s="2">
        <v>-0.58897234451789293</v>
      </c>
      <c r="I13" s="3" t="s">
        <v>76</v>
      </c>
      <c r="J13" s="4">
        <v>2</v>
      </c>
    </row>
    <row r="14" spans="1:17" x14ac:dyDescent="0.3">
      <c r="A14" s="9">
        <v>47</v>
      </c>
      <c r="C14" s="1" t="s">
        <v>13</v>
      </c>
      <c r="D14" s="2">
        <v>5.661250416565785E-2</v>
      </c>
    </row>
    <row r="15" spans="1:17" x14ac:dyDescent="0.3">
      <c r="A15" s="9">
        <v>65</v>
      </c>
      <c r="C15" s="79" t="s">
        <v>14</v>
      </c>
      <c r="D15" s="82">
        <v>45</v>
      </c>
    </row>
    <row r="16" spans="1:17" x14ac:dyDescent="0.3">
      <c r="A16" s="9">
        <v>52</v>
      </c>
      <c r="C16" s="1" t="s">
        <v>15</v>
      </c>
      <c r="D16" s="2">
        <v>28</v>
      </c>
    </row>
    <row r="17" spans="1:4" x14ac:dyDescent="0.3">
      <c r="A17" s="9">
        <v>44</v>
      </c>
      <c r="C17" s="1" t="s">
        <v>16</v>
      </c>
      <c r="D17" s="2">
        <v>73</v>
      </c>
    </row>
    <row r="18" spans="1:4" x14ac:dyDescent="0.3">
      <c r="A18" s="9">
        <v>38</v>
      </c>
      <c r="C18" s="1" t="s">
        <v>17</v>
      </c>
      <c r="D18" s="2">
        <v>2535</v>
      </c>
    </row>
    <row r="19" spans="1:4" ht="15" thickBot="1" x14ac:dyDescent="0.35">
      <c r="A19" s="9">
        <v>60</v>
      </c>
      <c r="C19" s="3" t="s">
        <v>18</v>
      </c>
      <c r="D19" s="4">
        <v>50</v>
      </c>
    </row>
    <row r="20" spans="1:4" x14ac:dyDescent="0.3">
      <c r="A20" s="9">
        <v>56</v>
      </c>
    </row>
    <row r="21" spans="1:4" x14ac:dyDescent="0.3">
      <c r="A21" s="9">
        <v>40</v>
      </c>
    </row>
    <row r="22" spans="1:4" x14ac:dyDescent="0.3">
      <c r="A22" s="9">
        <v>36</v>
      </c>
    </row>
    <row r="23" spans="1:4" x14ac:dyDescent="0.3">
      <c r="A23" s="9">
        <v>49</v>
      </c>
    </row>
    <row r="24" spans="1:4" x14ac:dyDescent="0.3">
      <c r="A24" s="9">
        <v>68</v>
      </c>
    </row>
    <row r="25" spans="1:4" x14ac:dyDescent="0.3">
      <c r="A25" s="9">
        <v>57</v>
      </c>
    </row>
    <row r="26" spans="1:4" x14ac:dyDescent="0.3">
      <c r="A26" s="9">
        <v>52</v>
      </c>
    </row>
    <row r="27" spans="1:4" x14ac:dyDescent="0.3">
      <c r="A27" s="9">
        <v>63</v>
      </c>
    </row>
    <row r="28" spans="1:4" x14ac:dyDescent="0.3">
      <c r="A28" s="9">
        <v>41</v>
      </c>
    </row>
    <row r="29" spans="1:4" x14ac:dyDescent="0.3">
      <c r="A29" s="9">
        <v>48</v>
      </c>
    </row>
    <row r="30" spans="1:4" x14ac:dyDescent="0.3">
      <c r="A30" s="9">
        <v>55</v>
      </c>
    </row>
    <row r="31" spans="1:4" x14ac:dyDescent="0.3">
      <c r="A31" s="9">
        <v>42</v>
      </c>
    </row>
    <row r="32" spans="1:4" x14ac:dyDescent="0.3">
      <c r="A32" s="9">
        <v>39</v>
      </c>
    </row>
    <row r="33" spans="1:1" x14ac:dyDescent="0.3">
      <c r="A33" s="9">
        <v>58</v>
      </c>
    </row>
    <row r="34" spans="1:1" x14ac:dyDescent="0.3">
      <c r="A34" s="9">
        <v>62</v>
      </c>
    </row>
    <row r="35" spans="1:1" x14ac:dyDescent="0.3">
      <c r="A35" s="9">
        <v>49</v>
      </c>
    </row>
    <row r="36" spans="1:1" x14ac:dyDescent="0.3">
      <c r="A36" s="9">
        <v>59</v>
      </c>
    </row>
    <row r="37" spans="1:1" x14ac:dyDescent="0.3">
      <c r="A37" s="9">
        <v>45</v>
      </c>
    </row>
    <row r="38" spans="1:1" x14ac:dyDescent="0.3">
      <c r="A38" s="9">
        <v>47</v>
      </c>
    </row>
    <row r="39" spans="1:1" x14ac:dyDescent="0.3">
      <c r="A39" s="9">
        <v>51</v>
      </c>
    </row>
    <row r="40" spans="1:1" x14ac:dyDescent="0.3">
      <c r="A40" s="9">
        <v>65</v>
      </c>
    </row>
    <row r="41" spans="1:1" x14ac:dyDescent="0.3">
      <c r="A41" s="9">
        <v>41</v>
      </c>
    </row>
    <row r="42" spans="1:1" x14ac:dyDescent="0.3">
      <c r="A42" s="9">
        <v>48</v>
      </c>
    </row>
    <row r="43" spans="1:1" x14ac:dyDescent="0.3">
      <c r="A43" s="9">
        <v>55</v>
      </c>
    </row>
    <row r="44" spans="1:1" x14ac:dyDescent="0.3">
      <c r="A44" s="9">
        <v>42</v>
      </c>
    </row>
    <row r="45" spans="1:1" x14ac:dyDescent="0.3">
      <c r="A45" s="9">
        <v>39</v>
      </c>
    </row>
    <row r="46" spans="1:1" x14ac:dyDescent="0.3">
      <c r="A46" s="9">
        <v>58</v>
      </c>
    </row>
    <row r="47" spans="1:1" x14ac:dyDescent="0.3">
      <c r="A47" s="9">
        <v>62</v>
      </c>
    </row>
    <row r="48" spans="1:1" x14ac:dyDescent="0.3">
      <c r="A48" s="9">
        <v>49</v>
      </c>
    </row>
    <row r="49" spans="1:1" x14ac:dyDescent="0.3">
      <c r="A49" s="9">
        <v>59</v>
      </c>
    </row>
    <row r="50" spans="1:1" x14ac:dyDescent="0.3">
      <c r="A50" s="9">
        <v>45</v>
      </c>
    </row>
    <row r="51" spans="1:1" x14ac:dyDescent="0.3">
      <c r="A51" s="9">
        <v>47</v>
      </c>
    </row>
    <row r="52" spans="1:1" x14ac:dyDescent="0.3">
      <c r="A52" s="9">
        <v>51</v>
      </c>
    </row>
    <row r="53" spans="1:1" x14ac:dyDescent="0.3">
      <c r="A53" s="9">
        <v>65</v>
      </c>
    </row>
    <row r="54" spans="1:1" x14ac:dyDescent="0.3">
      <c r="A54" s="9">
        <v>43</v>
      </c>
    </row>
    <row r="55" spans="1:1" ht="15" thickBot="1" x14ac:dyDescent="0.35">
      <c r="A55" s="10">
        <v>58</v>
      </c>
    </row>
  </sheetData>
  <mergeCells count="2">
    <mergeCell ref="H2:Q2"/>
    <mergeCell ref="I4:J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94"/>
  <sheetViews>
    <sheetView workbookViewId="0">
      <selection activeCell="B13" sqref="B13:C14"/>
    </sheetView>
  </sheetViews>
  <sheetFormatPr defaultRowHeight="14.4" x14ac:dyDescent="0.3"/>
  <cols>
    <col min="1" max="1" width="20.6640625" bestFit="1" customWidth="1"/>
    <col min="2" max="2" width="16.5546875" bestFit="1" customWidth="1"/>
  </cols>
  <sheetData>
    <row r="1" spans="1:13" ht="15" thickBot="1" x14ac:dyDescent="0.35"/>
    <row r="2" spans="1:13" ht="18.600000000000001" thickBot="1" x14ac:dyDescent="0.4">
      <c r="H2" s="118"/>
      <c r="I2" s="119" t="s">
        <v>108</v>
      </c>
      <c r="J2" s="119"/>
      <c r="K2" s="119"/>
      <c r="L2" s="119"/>
      <c r="M2" s="120"/>
    </row>
    <row r="3" spans="1:13" ht="15" thickBot="1" x14ac:dyDescent="0.35"/>
    <row r="4" spans="1:13" ht="15" thickBot="1" x14ac:dyDescent="0.35">
      <c r="A4" s="91" t="s">
        <v>109</v>
      </c>
    </row>
    <row r="5" spans="1:13" x14ac:dyDescent="0.3">
      <c r="A5" s="9">
        <v>12</v>
      </c>
      <c r="B5" s="37" t="s">
        <v>109</v>
      </c>
      <c r="C5" s="38"/>
    </row>
    <row r="6" spans="1:13" x14ac:dyDescent="0.3">
      <c r="A6" s="9">
        <v>18</v>
      </c>
      <c r="B6" s="1"/>
      <c r="C6" s="2"/>
    </row>
    <row r="7" spans="1:13" x14ac:dyDescent="0.3">
      <c r="A7" s="9">
        <v>15</v>
      </c>
      <c r="B7" s="1" t="s">
        <v>6</v>
      </c>
      <c r="C7" s="2">
        <v>18.2</v>
      </c>
    </row>
    <row r="8" spans="1:13" x14ac:dyDescent="0.3">
      <c r="A8" s="9">
        <v>22</v>
      </c>
      <c r="B8" s="1" t="s">
        <v>7</v>
      </c>
      <c r="C8" s="2">
        <v>0.30770383153297765</v>
      </c>
    </row>
    <row r="9" spans="1:13" x14ac:dyDescent="0.3">
      <c r="A9" s="9">
        <v>20</v>
      </c>
      <c r="B9" s="1" t="s">
        <v>8</v>
      </c>
      <c r="C9" s="2">
        <v>18.5</v>
      </c>
    </row>
    <row r="10" spans="1:13" x14ac:dyDescent="0.3">
      <c r="A10" s="9">
        <v>14</v>
      </c>
      <c r="B10" s="1" t="s">
        <v>9</v>
      </c>
      <c r="C10" s="2">
        <v>22</v>
      </c>
    </row>
    <row r="11" spans="1:13" x14ac:dyDescent="0.3">
      <c r="A11" s="9">
        <v>16</v>
      </c>
      <c r="B11" s="1" t="s">
        <v>10</v>
      </c>
      <c r="C11" s="2">
        <v>2.919134857214849</v>
      </c>
    </row>
    <row r="12" spans="1:13" x14ac:dyDescent="0.3">
      <c r="A12" s="9">
        <v>21</v>
      </c>
      <c r="B12" s="1" t="s">
        <v>11</v>
      </c>
      <c r="C12" s="2">
        <v>8.5213483146067581</v>
      </c>
    </row>
    <row r="13" spans="1:13" x14ac:dyDescent="0.3">
      <c r="A13" s="9">
        <v>19</v>
      </c>
      <c r="B13" s="30" t="s">
        <v>12</v>
      </c>
      <c r="C13" s="33">
        <v>-0.90474001213785815</v>
      </c>
    </row>
    <row r="14" spans="1:13" x14ac:dyDescent="0.3">
      <c r="A14" s="9">
        <v>17</v>
      </c>
      <c r="B14" s="30" t="s">
        <v>13</v>
      </c>
      <c r="C14" s="33">
        <v>-0.35190506542853134</v>
      </c>
    </row>
    <row r="15" spans="1:13" x14ac:dyDescent="0.3">
      <c r="A15" s="9">
        <v>22</v>
      </c>
      <c r="B15" s="1" t="s">
        <v>14</v>
      </c>
      <c r="C15" s="2">
        <v>10</v>
      </c>
    </row>
    <row r="16" spans="1:13" x14ac:dyDescent="0.3">
      <c r="A16" s="9">
        <v>19</v>
      </c>
      <c r="B16" s="1" t="s">
        <v>15</v>
      </c>
      <c r="C16" s="2">
        <v>12</v>
      </c>
    </row>
    <row r="17" spans="1:3" x14ac:dyDescent="0.3">
      <c r="A17" s="9">
        <v>13</v>
      </c>
      <c r="B17" s="1" t="s">
        <v>16</v>
      </c>
      <c r="C17" s="2">
        <v>22</v>
      </c>
    </row>
    <row r="18" spans="1:3" x14ac:dyDescent="0.3">
      <c r="A18" s="9">
        <v>16</v>
      </c>
      <c r="B18" s="1" t="s">
        <v>17</v>
      </c>
      <c r="C18" s="2">
        <v>1638</v>
      </c>
    </row>
    <row r="19" spans="1:3" ht="15" thickBot="1" x14ac:dyDescent="0.35">
      <c r="A19" s="9">
        <v>21</v>
      </c>
      <c r="B19" s="3" t="s">
        <v>18</v>
      </c>
      <c r="C19" s="4">
        <v>90</v>
      </c>
    </row>
    <row r="20" spans="1:3" x14ac:dyDescent="0.3">
      <c r="A20" s="9">
        <v>22</v>
      </c>
    </row>
    <row r="21" spans="1:3" x14ac:dyDescent="0.3">
      <c r="A21" s="9">
        <v>17</v>
      </c>
    </row>
    <row r="22" spans="1:3" x14ac:dyDescent="0.3">
      <c r="A22" s="9">
        <v>19</v>
      </c>
    </row>
    <row r="23" spans="1:3" x14ac:dyDescent="0.3">
      <c r="A23" s="9">
        <v>22</v>
      </c>
    </row>
    <row r="24" spans="1:3" x14ac:dyDescent="0.3">
      <c r="A24" s="9">
        <v>18</v>
      </c>
    </row>
    <row r="25" spans="1:3" x14ac:dyDescent="0.3">
      <c r="A25" s="9">
        <v>14</v>
      </c>
    </row>
    <row r="26" spans="1:3" x14ac:dyDescent="0.3">
      <c r="A26" s="9">
        <v>21</v>
      </c>
    </row>
    <row r="27" spans="1:3" x14ac:dyDescent="0.3">
      <c r="A27" s="9">
        <v>19</v>
      </c>
    </row>
    <row r="28" spans="1:3" x14ac:dyDescent="0.3">
      <c r="A28" s="9">
        <v>17</v>
      </c>
    </row>
    <row r="29" spans="1:3" x14ac:dyDescent="0.3">
      <c r="A29" s="9">
        <v>22</v>
      </c>
    </row>
    <row r="30" spans="1:3" x14ac:dyDescent="0.3">
      <c r="A30" s="9">
        <v>18</v>
      </c>
    </row>
    <row r="31" spans="1:3" x14ac:dyDescent="0.3">
      <c r="A31" s="9">
        <v>15</v>
      </c>
    </row>
    <row r="32" spans="1:3" x14ac:dyDescent="0.3">
      <c r="A32" s="9">
        <v>21</v>
      </c>
    </row>
    <row r="33" spans="1:1" x14ac:dyDescent="0.3">
      <c r="A33" s="9">
        <v>20</v>
      </c>
    </row>
    <row r="34" spans="1:1" x14ac:dyDescent="0.3">
      <c r="A34" s="9">
        <v>16</v>
      </c>
    </row>
    <row r="35" spans="1:1" x14ac:dyDescent="0.3">
      <c r="A35" s="9">
        <v>12</v>
      </c>
    </row>
    <row r="36" spans="1:1" x14ac:dyDescent="0.3">
      <c r="A36" s="9">
        <v>18</v>
      </c>
    </row>
    <row r="37" spans="1:1" x14ac:dyDescent="0.3">
      <c r="A37" s="9">
        <v>15</v>
      </c>
    </row>
    <row r="38" spans="1:1" x14ac:dyDescent="0.3">
      <c r="A38" s="9">
        <v>22</v>
      </c>
    </row>
    <row r="39" spans="1:1" x14ac:dyDescent="0.3">
      <c r="A39" s="9">
        <v>20</v>
      </c>
    </row>
    <row r="40" spans="1:1" x14ac:dyDescent="0.3">
      <c r="A40" s="9">
        <v>14</v>
      </c>
    </row>
    <row r="41" spans="1:1" x14ac:dyDescent="0.3">
      <c r="A41" s="9">
        <v>16</v>
      </c>
    </row>
    <row r="42" spans="1:1" x14ac:dyDescent="0.3">
      <c r="A42" s="9">
        <v>21</v>
      </c>
    </row>
    <row r="43" spans="1:1" x14ac:dyDescent="0.3">
      <c r="A43" s="9">
        <v>19</v>
      </c>
    </row>
    <row r="44" spans="1:1" x14ac:dyDescent="0.3">
      <c r="A44" s="9">
        <v>17</v>
      </c>
    </row>
    <row r="45" spans="1:1" x14ac:dyDescent="0.3">
      <c r="A45" s="9">
        <v>22</v>
      </c>
    </row>
    <row r="46" spans="1:1" x14ac:dyDescent="0.3">
      <c r="A46" s="9">
        <v>19</v>
      </c>
    </row>
    <row r="47" spans="1:1" x14ac:dyDescent="0.3">
      <c r="A47" s="9">
        <v>13</v>
      </c>
    </row>
    <row r="48" spans="1:1" x14ac:dyDescent="0.3">
      <c r="A48" s="9">
        <v>16</v>
      </c>
    </row>
    <row r="49" spans="1:1" x14ac:dyDescent="0.3">
      <c r="A49" s="9">
        <v>21</v>
      </c>
    </row>
    <row r="50" spans="1:1" x14ac:dyDescent="0.3">
      <c r="A50" s="9">
        <v>22</v>
      </c>
    </row>
    <row r="51" spans="1:1" x14ac:dyDescent="0.3">
      <c r="A51" s="9">
        <v>17</v>
      </c>
    </row>
    <row r="52" spans="1:1" x14ac:dyDescent="0.3">
      <c r="A52" s="9">
        <v>19</v>
      </c>
    </row>
    <row r="53" spans="1:1" x14ac:dyDescent="0.3">
      <c r="A53" s="9">
        <v>22</v>
      </c>
    </row>
    <row r="54" spans="1:1" x14ac:dyDescent="0.3">
      <c r="A54" s="9">
        <v>18</v>
      </c>
    </row>
    <row r="55" spans="1:1" x14ac:dyDescent="0.3">
      <c r="A55" s="9">
        <v>14</v>
      </c>
    </row>
    <row r="56" spans="1:1" x14ac:dyDescent="0.3">
      <c r="A56" s="9">
        <v>21</v>
      </c>
    </row>
    <row r="57" spans="1:1" x14ac:dyDescent="0.3">
      <c r="A57" s="9">
        <v>19</v>
      </c>
    </row>
    <row r="58" spans="1:1" x14ac:dyDescent="0.3">
      <c r="A58" s="9">
        <v>17</v>
      </c>
    </row>
    <row r="59" spans="1:1" x14ac:dyDescent="0.3">
      <c r="A59" s="9">
        <v>22</v>
      </c>
    </row>
    <row r="60" spans="1:1" x14ac:dyDescent="0.3">
      <c r="A60" s="9">
        <v>18</v>
      </c>
    </row>
    <row r="61" spans="1:1" x14ac:dyDescent="0.3">
      <c r="A61" s="9">
        <v>15</v>
      </c>
    </row>
    <row r="62" spans="1:1" x14ac:dyDescent="0.3">
      <c r="A62" s="9">
        <v>21</v>
      </c>
    </row>
    <row r="63" spans="1:1" x14ac:dyDescent="0.3">
      <c r="A63" s="9">
        <v>20</v>
      </c>
    </row>
    <row r="64" spans="1:1" x14ac:dyDescent="0.3">
      <c r="A64" s="9">
        <v>16</v>
      </c>
    </row>
    <row r="65" spans="1:1" x14ac:dyDescent="0.3">
      <c r="A65" s="9">
        <v>12</v>
      </c>
    </row>
    <row r="66" spans="1:1" x14ac:dyDescent="0.3">
      <c r="A66" s="9">
        <v>18</v>
      </c>
    </row>
    <row r="67" spans="1:1" x14ac:dyDescent="0.3">
      <c r="A67" s="9">
        <v>15</v>
      </c>
    </row>
    <row r="68" spans="1:1" x14ac:dyDescent="0.3">
      <c r="A68" s="9">
        <v>22</v>
      </c>
    </row>
    <row r="69" spans="1:1" x14ac:dyDescent="0.3">
      <c r="A69" s="9">
        <v>20</v>
      </c>
    </row>
    <row r="70" spans="1:1" x14ac:dyDescent="0.3">
      <c r="A70" s="9">
        <v>14</v>
      </c>
    </row>
    <row r="71" spans="1:1" x14ac:dyDescent="0.3">
      <c r="A71" s="9">
        <v>16</v>
      </c>
    </row>
    <row r="72" spans="1:1" x14ac:dyDescent="0.3">
      <c r="A72" s="9">
        <v>21</v>
      </c>
    </row>
    <row r="73" spans="1:1" x14ac:dyDescent="0.3">
      <c r="A73" s="9">
        <v>19</v>
      </c>
    </row>
    <row r="74" spans="1:1" x14ac:dyDescent="0.3">
      <c r="A74" s="9">
        <v>17</v>
      </c>
    </row>
    <row r="75" spans="1:1" x14ac:dyDescent="0.3">
      <c r="A75" s="9">
        <v>22</v>
      </c>
    </row>
    <row r="76" spans="1:1" x14ac:dyDescent="0.3">
      <c r="A76" s="9">
        <v>19</v>
      </c>
    </row>
    <row r="77" spans="1:1" x14ac:dyDescent="0.3">
      <c r="A77" s="9">
        <v>13</v>
      </c>
    </row>
    <row r="78" spans="1:1" x14ac:dyDescent="0.3">
      <c r="A78" s="9">
        <v>16</v>
      </c>
    </row>
    <row r="79" spans="1:1" x14ac:dyDescent="0.3">
      <c r="A79" s="9">
        <v>21</v>
      </c>
    </row>
    <row r="80" spans="1:1" x14ac:dyDescent="0.3">
      <c r="A80" s="9">
        <v>22</v>
      </c>
    </row>
    <row r="81" spans="1:1" x14ac:dyDescent="0.3">
      <c r="A81" s="9">
        <v>17</v>
      </c>
    </row>
    <row r="82" spans="1:1" x14ac:dyDescent="0.3">
      <c r="A82" s="9">
        <v>19</v>
      </c>
    </row>
    <row r="83" spans="1:1" x14ac:dyDescent="0.3">
      <c r="A83" s="9">
        <v>22</v>
      </c>
    </row>
    <row r="84" spans="1:1" x14ac:dyDescent="0.3">
      <c r="A84" s="9">
        <v>18</v>
      </c>
    </row>
    <row r="85" spans="1:1" x14ac:dyDescent="0.3">
      <c r="A85" s="9">
        <v>14</v>
      </c>
    </row>
    <row r="86" spans="1:1" x14ac:dyDescent="0.3">
      <c r="A86" s="9">
        <v>21</v>
      </c>
    </row>
    <row r="87" spans="1:1" x14ac:dyDescent="0.3">
      <c r="A87" s="9">
        <v>19</v>
      </c>
    </row>
    <row r="88" spans="1:1" x14ac:dyDescent="0.3">
      <c r="A88" s="9">
        <v>17</v>
      </c>
    </row>
    <row r="89" spans="1:1" x14ac:dyDescent="0.3">
      <c r="A89" s="9">
        <v>22</v>
      </c>
    </row>
    <row r="90" spans="1:1" x14ac:dyDescent="0.3">
      <c r="A90" s="9">
        <v>18</v>
      </c>
    </row>
    <row r="91" spans="1:1" x14ac:dyDescent="0.3">
      <c r="A91" s="9">
        <v>15</v>
      </c>
    </row>
    <row r="92" spans="1:1" x14ac:dyDescent="0.3">
      <c r="A92" s="9">
        <v>21</v>
      </c>
    </row>
    <row r="93" spans="1:1" x14ac:dyDescent="0.3">
      <c r="A93" s="9">
        <v>20</v>
      </c>
    </row>
    <row r="94" spans="1:1" ht="15" thickBot="1" x14ac:dyDescent="0.35">
      <c r="A94" s="10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O17"/>
  <sheetViews>
    <sheetView workbookViewId="0">
      <selection activeCell="C16" sqref="C16"/>
    </sheetView>
  </sheetViews>
  <sheetFormatPr defaultRowHeight="14.4" x14ac:dyDescent="0.3"/>
  <cols>
    <col min="1" max="1" width="21.77734375" bestFit="1" customWidth="1"/>
    <col min="2" max="2" width="12" bestFit="1" customWidth="1"/>
    <col min="3" max="3" width="20.6640625" bestFit="1" customWidth="1"/>
    <col min="4" max="4" width="21.44140625" bestFit="1" customWidth="1"/>
    <col min="5" max="5" width="12.6640625" bestFit="1" customWidth="1"/>
  </cols>
  <sheetData>
    <row r="2" spans="1:15" ht="18" x14ac:dyDescent="0.35">
      <c r="H2" s="137" t="s">
        <v>110</v>
      </c>
      <c r="I2" s="137"/>
      <c r="J2" s="137"/>
      <c r="K2" s="137"/>
      <c r="L2" s="137"/>
      <c r="M2" s="137"/>
      <c r="N2" s="137"/>
      <c r="O2" s="137"/>
    </row>
    <row r="4" spans="1:15" ht="15" thickBot="1" x14ac:dyDescent="0.35"/>
    <row r="5" spans="1:15" ht="15" thickBot="1" x14ac:dyDescent="0.35">
      <c r="A5" s="105" t="s">
        <v>111</v>
      </c>
      <c r="B5" s="107" t="s">
        <v>112</v>
      </c>
      <c r="C5" s="121" t="s">
        <v>113</v>
      </c>
    </row>
    <row r="6" spans="1:15" x14ac:dyDescent="0.3">
      <c r="A6" s="1">
        <v>10</v>
      </c>
      <c r="B6" s="2">
        <v>50</v>
      </c>
      <c r="C6" s="126"/>
      <c r="D6" s="122" t="s">
        <v>111</v>
      </c>
      <c r="E6" s="123" t="s">
        <v>112</v>
      </c>
    </row>
    <row r="7" spans="1:15" x14ac:dyDescent="0.3">
      <c r="A7" s="1">
        <v>12</v>
      </c>
      <c r="B7" s="2">
        <v>55</v>
      </c>
      <c r="C7" s="124" t="s">
        <v>111</v>
      </c>
      <c r="D7">
        <v>1</v>
      </c>
      <c r="E7" s="2"/>
    </row>
    <row r="8" spans="1:15" ht="15" thickBot="1" x14ac:dyDescent="0.35">
      <c r="A8" s="1">
        <v>15</v>
      </c>
      <c r="B8" s="2">
        <v>60</v>
      </c>
      <c r="C8" s="125" t="s">
        <v>112</v>
      </c>
      <c r="D8" s="29">
        <v>0.99921031003664817</v>
      </c>
      <c r="E8" s="4">
        <v>1</v>
      </c>
    </row>
    <row r="9" spans="1:15" x14ac:dyDescent="0.3">
      <c r="A9" s="1">
        <v>18</v>
      </c>
      <c r="B9" s="2">
        <v>65</v>
      </c>
    </row>
    <row r="10" spans="1:15" x14ac:dyDescent="0.3">
      <c r="A10" s="1">
        <v>20</v>
      </c>
      <c r="B10" s="2">
        <v>70</v>
      </c>
    </row>
    <row r="11" spans="1:15" x14ac:dyDescent="0.3">
      <c r="A11" s="1">
        <v>22</v>
      </c>
      <c r="B11" s="2">
        <v>75</v>
      </c>
    </row>
    <row r="12" spans="1:15" x14ac:dyDescent="0.3">
      <c r="A12" s="1">
        <v>25</v>
      </c>
      <c r="B12" s="2">
        <v>80</v>
      </c>
    </row>
    <row r="13" spans="1:15" x14ac:dyDescent="0.3">
      <c r="A13" s="1">
        <v>28</v>
      </c>
      <c r="B13" s="2">
        <v>85</v>
      </c>
    </row>
    <row r="14" spans="1:15" x14ac:dyDescent="0.3">
      <c r="A14" s="1">
        <v>30</v>
      </c>
      <c r="B14" s="2">
        <v>90</v>
      </c>
    </row>
    <row r="15" spans="1:15" x14ac:dyDescent="0.3">
      <c r="A15" s="1">
        <v>32</v>
      </c>
      <c r="B15" s="2">
        <v>95</v>
      </c>
    </row>
    <row r="16" spans="1:15" x14ac:dyDescent="0.3">
      <c r="A16" s="1">
        <v>35</v>
      </c>
      <c r="B16" s="2">
        <v>100</v>
      </c>
    </row>
    <row r="17" spans="1:2" ht="15" thickBot="1" x14ac:dyDescent="0.35">
      <c r="A17" s="3">
        <v>38</v>
      </c>
      <c r="B17" s="4">
        <v>105</v>
      </c>
    </row>
  </sheetData>
  <mergeCells count="1">
    <mergeCell ref="H2:O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5"/>
  <sheetViews>
    <sheetView workbookViewId="0">
      <selection activeCell="C5" sqref="C5"/>
    </sheetView>
  </sheetViews>
  <sheetFormatPr defaultRowHeight="14.4" x14ac:dyDescent="0.3"/>
  <cols>
    <col min="1" max="2" width="9.77734375" bestFit="1" customWidth="1"/>
    <col min="3" max="3" width="11.88671875" bestFit="1" customWidth="1"/>
    <col min="4" max="4" width="12" bestFit="1" customWidth="1"/>
    <col min="5" max="5" width="10.21875" bestFit="1" customWidth="1"/>
  </cols>
  <sheetData>
    <row r="1" spans="1:14" ht="15" thickBot="1" x14ac:dyDescent="0.35"/>
    <row r="2" spans="1:14" ht="18.600000000000001" thickBot="1" x14ac:dyDescent="0.4">
      <c r="I2" s="138" t="s">
        <v>114</v>
      </c>
      <c r="J2" s="139"/>
      <c r="K2" s="139"/>
      <c r="L2" s="139"/>
      <c r="M2" s="139"/>
      <c r="N2" s="140"/>
    </row>
    <row r="4" spans="1:14" ht="15" thickBot="1" x14ac:dyDescent="0.35"/>
    <row r="5" spans="1:14" ht="15" thickBot="1" x14ac:dyDescent="0.35">
      <c r="A5" s="105" t="s">
        <v>115</v>
      </c>
      <c r="B5" s="107" t="s">
        <v>116</v>
      </c>
      <c r="C5" s="121" t="s">
        <v>113</v>
      </c>
    </row>
    <row r="6" spans="1:14" x14ac:dyDescent="0.3">
      <c r="A6" s="1">
        <v>45</v>
      </c>
      <c r="B6" s="2">
        <v>52</v>
      </c>
      <c r="C6" s="126"/>
      <c r="D6" s="122" t="s">
        <v>115</v>
      </c>
      <c r="E6" s="123" t="s">
        <v>116</v>
      </c>
    </row>
    <row r="7" spans="1:14" x14ac:dyDescent="0.3">
      <c r="A7" s="1">
        <v>47</v>
      </c>
      <c r="B7" s="2">
        <v>54</v>
      </c>
      <c r="C7" s="124" t="s">
        <v>115</v>
      </c>
      <c r="D7">
        <v>1</v>
      </c>
      <c r="E7" s="2"/>
    </row>
    <row r="8" spans="1:14" ht="15" thickBot="1" x14ac:dyDescent="0.35">
      <c r="A8" s="1">
        <v>48</v>
      </c>
      <c r="B8" s="2">
        <v>55</v>
      </c>
      <c r="C8" s="125" t="s">
        <v>116</v>
      </c>
      <c r="D8" s="29">
        <v>0.99859572699637911</v>
      </c>
      <c r="E8" s="4">
        <v>1</v>
      </c>
    </row>
    <row r="9" spans="1:14" x14ac:dyDescent="0.3">
      <c r="A9" s="1">
        <v>50</v>
      </c>
      <c r="B9" s="2">
        <v>57</v>
      </c>
    </row>
    <row r="10" spans="1:14" x14ac:dyDescent="0.3">
      <c r="A10" s="1">
        <v>52</v>
      </c>
      <c r="B10" s="2">
        <v>59</v>
      </c>
    </row>
    <row r="11" spans="1:14" x14ac:dyDescent="0.3">
      <c r="A11" s="1">
        <v>53</v>
      </c>
      <c r="B11" s="2">
        <v>60</v>
      </c>
    </row>
    <row r="12" spans="1:14" x14ac:dyDescent="0.3">
      <c r="A12" s="1">
        <v>55</v>
      </c>
      <c r="B12" s="2">
        <v>61</v>
      </c>
    </row>
    <row r="13" spans="1:14" x14ac:dyDescent="0.3">
      <c r="A13" s="1">
        <v>56</v>
      </c>
      <c r="B13" s="2">
        <v>62</v>
      </c>
    </row>
    <row r="14" spans="1:14" x14ac:dyDescent="0.3">
      <c r="A14" s="1">
        <v>58</v>
      </c>
      <c r="B14" s="2">
        <v>64</v>
      </c>
    </row>
    <row r="15" spans="1:14" x14ac:dyDescent="0.3">
      <c r="A15" s="1">
        <v>60</v>
      </c>
      <c r="B15" s="2">
        <v>66</v>
      </c>
    </row>
    <row r="16" spans="1:14" x14ac:dyDescent="0.3">
      <c r="A16" s="1">
        <v>62</v>
      </c>
      <c r="B16" s="2">
        <v>67</v>
      </c>
    </row>
    <row r="17" spans="1:2" x14ac:dyDescent="0.3">
      <c r="A17" s="1">
        <v>64</v>
      </c>
      <c r="B17" s="2">
        <v>69</v>
      </c>
    </row>
    <row r="18" spans="1:2" x14ac:dyDescent="0.3">
      <c r="A18" s="1">
        <v>65</v>
      </c>
      <c r="B18" s="2">
        <v>71</v>
      </c>
    </row>
    <row r="19" spans="1:2" x14ac:dyDescent="0.3">
      <c r="A19" s="1">
        <v>67</v>
      </c>
      <c r="B19" s="2">
        <v>73</v>
      </c>
    </row>
    <row r="20" spans="1:2" x14ac:dyDescent="0.3">
      <c r="A20" s="1">
        <v>69</v>
      </c>
      <c r="B20" s="2">
        <v>74</v>
      </c>
    </row>
    <row r="21" spans="1:2" x14ac:dyDescent="0.3">
      <c r="A21" s="1">
        <v>70</v>
      </c>
      <c r="B21" s="2">
        <v>76</v>
      </c>
    </row>
    <row r="22" spans="1:2" x14ac:dyDescent="0.3">
      <c r="A22" s="1">
        <v>72</v>
      </c>
      <c r="B22" s="2">
        <v>78</v>
      </c>
    </row>
    <row r="23" spans="1:2" x14ac:dyDescent="0.3">
      <c r="A23" s="1">
        <v>74</v>
      </c>
      <c r="B23" s="2">
        <v>80</v>
      </c>
    </row>
    <row r="24" spans="1:2" x14ac:dyDescent="0.3">
      <c r="A24" s="1">
        <v>76</v>
      </c>
      <c r="B24" s="2">
        <v>82</v>
      </c>
    </row>
    <row r="25" spans="1:2" ht="15" thickBot="1" x14ac:dyDescent="0.35">
      <c r="A25" s="3">
        <v>77</v>
      </c>
      <c r="B25" s="4">
        <v>83</v>
      </c>
    </row>
  </sheetData>
  <mergeCells count="1">
    <mergeCell ref="I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4"/>
  <sheetViews>
    <sheetView topLeftCell="B1" workbookViewId="0">
      <selection activeCell="C5" sqref="C5"/>
    </sheetView>
  </sheetViews>
  <sheetFormatPr defaultRowHeight="14.4" x14ac:dyDescent="0.3"/>
  <cols>
    <col min="1" max="1" width="21.5546875" bestFit="1" customWidth="1"/>
    <col min="2" max="2" width="10.33203125" bestFit="1" customWidth="1"/>
    <col min="3" max="3" width="20.33203125" bestFit="1" customWidth="1"/>
    <col min="4" max="4" width="21.109375" bestFit="1" customWidth="1"/>
    <col min="5" max="5" width="10.77734375" bestFit="1" customWidth="1"/>
  </cols>
  <sheetData>
    <row r="1" spans="1:17" ht="15" thickBot="1" x14ac:dyDescent="0.35"/>
    <row r="2" spans="1:17" ht="18.600000000000001" thickBot="1" x14ac:dyDescent="0.4">
      <c r="H2" s="117"/>
      <c r="I2" s="118" t="s">
        <v>117</v>
      </c>
      <c r="J2" s="119"/>
      <c r="K2" s="119"/>
      <c r="L2" s="119"/>
      <c r="M2" s="119"/>
      <c r="N2" s="119"/>
      <c r="O2" s="119"/>
      <c r="P2" s="119"/>
      <c r="Q2" s="120"/>
    </row>
    <row r="3" spans="1:17" ht="14.4" customHeight="1" thickBot="1" x14ac:dyDescent="0.4">
      <c r="A3" s="105" t="s">
        <v>118</v>
      </c>
      <c r="B3" s="107" t="s">
        <v>119</v>
      </c>
      <c r="O3" s="117"/>
      <c r="P3" s="117"/>
      <c r="Q3" s="117"/>
    </row>
    <row r="4" spans="1:17" x14ac:dyDescent="0.3">
      <c r="A4" s="1">
        <v>10</v>
      </c>
      <c r="B4" s="2">
        <v>60</v>
      </c>
    </row>
    <row r="5" spans="1:17" ht="15" thickBot="1" x14ac:dyDescent="0.35">
      <c r="A5" s="1">
        <v>12</v>
      </c>
      <c r="B5" s="2">
        <v>65</v>
      </c>
      <c r="C5" s="121" t="s">
        <v>113</v>
      </c>
    </row>
    <row r="6" spans="1:17" ht="15" thickBot="1" x14ac:dyDescent="0.35">
      <c r="A6" s="1">
        <v>15</v>
      </c>
      <c r="B6">
        <v>70</v>
      </c>
      <c r="C6" s="129"/>
      <c r="D6" s="128" t="s">
        <v>118</v>
      </c>
      <c r="E6" s="93" t="s">
        <v>119</v>
      </c>
    </row>
    <row r="7" spans="1:17" x14ac:dyDescent="0.3">
      <c r="A7" s="1">
        <v>18</v>
      </c>
      <c r="B7" s="2">
        <v>75</v>
      </c>
      <c r="C7" s="124" t="s">
        <v>118</v>
      </c>
      <c r="D7">
        <v>1</v>
      </c>
      <c r="E7" s="2"/>
    </row>
    <row r="8" spans="1:17" ht="15" thickBot="1" x14ac:dyDescent="0.35">
      <c r="A8" s="1">
        <v>20</v>
      </c>
      <c r="B8" s="2">
        <v>80</v>
      </c>
      <c r="C8" s="125" t="s">
        <v>119</v>
      </c>
      <c r="D8" s="29">
        <v>0.91811015132610907</v>
      </c>
      <c r="E8" s="4">
        <v>1</v>
      </c>
    </row>
    <row r="9" spans="1:17" ht="15" thickBot="1" x14ac:dyDescent="0.35">
      <c r="A9" s="1">
        <v>22</v>
      </c>
      <c r="B9" s="2">
        <v>82</v>
      </c>
      <c r="K9" s="127"/>
    </row>
    <row r="10" spans="1:17" x14ac:dyDescent="0.3">
      <c r="A10" s="1">
        <v>25</v>
      </c>
      <c r="B10" s="2">
        <v>85</v>
      </c>
    </row>
    <row r="11" spans="1:17" x14ac:dyDescent="0.3">
      <c r="A11" s="1">
        <v>28</v>
      </c>
      <c r="B11" s="2">
        <v>88</v>
      </c>
    </row>
    <row r="12" spans="1:17" x14ac:dyDescent="0.3">
      <c r="A12" s="1">
        <v>30</v>
      </c>
      <c r="B12" s="2">
        <v>90</v>
      </c>
    </row>
    <row r="13" spans="1:17" x14ac:dyDescent="0.3">
      <c r="A13" s="1">
        <v>32</v>
      </c>
      <c r="B13" s="2">
        <v>92</v>
      </c>
    </row>
    <row r="14" spans="1:17" x14ac:dyDescent="0.3">
      <c r="A14" s="1">
        <v>35</v>
      </c>
      <c r="B14" s="2">
        <v>93</v>
      </c>
    </row>
    <row r="15" spans="1:17" x14ac:dyDescent="0.3">
      <c r="A15" s="1">
        <v>38</v>
      </c>
      <c r="B15" s="2">
        <v>95</v>
      </c>
    </row>
    <row r="16" spans="1:17" x14ac:dyDescent="0.3">
      <c r="A16" s="1">
        <v>40</v>
      </c>
      <c r="B16" s="2">
        <v>96</v>
      </c>
    </row>
    <row r="17" spans="1:2" x14ac:dyDescent="0.3">
      <c r="A17" s="1">
        <v>42</v>
      </c>
      <c r="B17" s="2">
        <v>97</v>
      </c>
    </row>
    <row r="18" spans="1:2" x14ac:dyDescent="0.3">
      <c r="A18" s="1">
        <v>45</v>
      </c>
      <c r="B18" s="2">
        <v>98</v>
      </c>
    </row>
    <row r="19" spans="1:2" x14ac:dyDescent="0.3">
      <c r="A19" s="1">
        <v>48</v>
      </c>
      <c r="B19" s="2">
        <v>99</v>
      </c>
    </row>
    <row r="20" spans="1:2" x14ac:dyDescent="0.3">
      <c r="A20" s="1">
        <v>50</v>
      </c>
      <c r="B20" s="2">
        <v>100</v>
      </c>
    </row>
    <row r="21" spans="1:2" x14ac:dyDescent="0.3">
      <c r="A21" s="1">
        <v>52</v>
      </c>
      <c r="B21" s="2">
        <v>102</v>
      </c>
    </row>
    <row r="22" spans="1:2" x14ac:dyDescent="0.3">
      <c r="A22" s="1">
        <v>55</v>
      </c>
      <c r="B22" s="2">
        <v>105</v>
      </c>
    </row>
    <row r="23" spans="1:2" x14ac:dyDescent="0.3">
      <c r="A23" s="1">
        <v>58</v>
      </c>
      <c r="B23" s="2">
        <v>106</v>
      </c>
    </row>
    <row r="24" spans="1:2" x14ac:dyDescent="0.3">
      <c r="A24" s="1">
        <v>60</v>
      </c>
      <c r="B24" s="2">
        <v>108</v>
      </c>
    </row>
    <row r="25" spans="1:2" x14ac:dyDescent="0.3">
      <c r="A25" s="1">
        <v>62</v>
      </c>
      <c r="B25" s="2">
        <v>110</v>
      </c>
    </row>
    <row r="26" spans="1:2" x14ac:dyDescent="0.3">
      <c r="A26" s="1">
        <v>65</v>
      </c>
      <c r="B26" s="2">
        <v>112</v>
      </c>
    </row>
    <row r="27" spans="1:2" x14ac:dyDescent="0.3">
      <c r="A27" s="1">
        <v>68</v>
      </c>
      <c r="B27" s="2">
        <v>114</v>
      </c>
    </row>
    <row r="28" spans="1:2" x14ac:dyDescent="0.3">
      <c r="A28" s="1">
        <v>70</v>
      </c>
      <c r="B28" s="2">
        <v>116</v>
      </c>
    </row>
    <row r="29" spans="1:2" x14ac:dyDescent="0.3">
      <c r="A29" s="1">
        <v>72</v>
      </c>
      <c r="B29" s="2">
        <v>118</v>
      </c>
    </row>
    <row r="30" spans="1:2" x14ac:dyDescent="0.3">
      <c r="A30" s="1">
        <v>75</v>
      </c>
      <c r="B30" s="2">
        <v>120</v>
      </c>
    </row>
    <row r="31" spans="1:2" x14ac:dyDescent="0.3">
      <c r="A31" s="1">
        <v>78</v>
      </c>
      <c r="B31" s="2">
        <v>122</v>
      </c>
    </row>
    <row r="32" spans="1:2" x14ac:dyDescent="0.3">
      <c r="A32" s="1">
        <v>80</v>
      </c>
      <c r="B32" s="2">
        <v>103</v>
      </c>
    </row>
    <row r="33" spans="1:2" x14ac:dyDescent="0.3">
      <c r="A33" s="1">
        <v>82</v>
      </c>
      <c r="B33" s="2">
        <v>104</v>
      </c>
    </row>
    <row r="34" spans="1:2" ht="15" thickBot="1" x14ac:dyDescent="0.35">
      <c r="A34" s="3">
        <v>45</v>
      </c>
      <c r="B34" s="4">
        <v>109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P47"/>
  <sheetViews>
    <sheetView topLeftCell="E1" workbookViewId="0">
      <selection activeCell="M2" sqref="M2"/>
    </sheetView>
  </sheetViews>
  <sheetFormatPr defaultRowHeight="14.4" x14ac:dyDescent="0.3"/>
  <cols>
    <col min="5" max="5" width="16.5546875" bestFit="1" customWidth="1"/>
    <col min="8" max="8" width="11.109375" bestFit="1" customWidth="1"/>
    <col min="10" max="10" width="16.5546875" bestFit="1" customWidth="1"/>
    <col min="15" max="15" width="16.5546875" bestFit="1" customWidth="1"/>
  </cols>
  <sheetData>
    <row r="1" spans="2:16" ht="18.600000000000001" thickBot="1" x14ac:dyDescent="0.4">
      <c r="H1" s="143" t="s">
        <v>40</v>
      </c>
      <c r="I1" s="144"/>
      <c r="J1" s="144"/>
      <c r="K1" s="144"/>
      <c r="L1" s="145"/>
    </row>
    <row r="2" spans="2:16" ht="15" thickBot="1" x14ac:dyDescent="0.35">
      <c r="B2" s="36" t="s">
        <v>36</v>
      </c>
      <c r="C2" s="27"/>
      <c r="D2" s="27"/>
      <c r="E2" s="27"/>
      <c r="F2" s="28"/>
      <c r="M2" s="36" t="s">
        <v>39</v>
      </c>
      <c r="N2" s="27"/>
      <c r="O2" s="27"/>
      <c r="P2" s="28"/>
    </row>
    <row r="3" spans="2:16" ht="15" thickBot="1" x14ac:dyDescent="0.35">
      <c r="B3" s="18" t="s">
        <v>5</v>
      </c>
      <c r="C3" s="19" t="s">
        <v>31</v>
      </c>
      <c r="E3" s="20" t="s">
        <v>31</v>
      </c>
      <c r="F3" s="21"/>
      <c r="H3" s="36" t="s">
        <v>38</v>
      </c>
      <c r="I3" s="27"/>
      <c r="J3" s="27"/>
      <c r="K3" s="28"/>
      <c r="M3" s="39" t="s">
        <v>41</v>
      </c>
      <c r="O3" s="40" t="s">
        <v>41</v>
      </c>
      <c r="P3" s="41"/>
    </row>
    <row r="4" spans="2:16" x14ac:dyDescent="0.3">
      <c r="B4" s="1" t="s">
        <v>21</v>
      </c>
      <c r="C4" s="2">
        <v>120</v>
      </c>
      <c r="E4" s="1"/>
      <c r="F4" s="2"/>
      <c r="H4" s="12" t="s">
        <v>32</v>
      </c>
      <c r="J4" s="37" t="s">
        <v>32</v>
      </c>
      <c r="K4" s="38"/>
      <c r="M4" s="9">
        <v>3</v>
      </c>
      <c r="O4" s="1"/>
      <c r="P4" s="2"/>
    </row>
    <row r="5" spans="2:16" x14ac:dyDescent="0.3">
      <c r="B5" s="1" t="s">
        <v>22</v>
      </c>
      <c r="C5" s="2">
        <v>110</v>
      </c>
      <c r="E5" s="1" t="s">
        <v>6</v>
      </c>
      <c r="F5" s="2">
        <v>122</v>
      </c>
      <c r="H5" s="9">
        <v>500</v>
      </c>
      <c r="J5" s="1"/>
      <c r="K5" s="2"/>
      <c r="M5" s="9">
        <v>5</v>
      </c>
      <c r="O5" s="1" t="s">
        <v>6</v>
      </c>
      <c r="P5" s="2">
        <v>3.5227272727272729</v>
      </c>
    </row>
    <row r="6" spans="2:16" x14ac:dyDescent="0.3">
      <c r="B6" s="1" t="s">
        <v>23</v>
      </c>
      <c r="C6" s="2">
        <v>130</v>
      </c>
      <c r="E6" s="1" t="s">
        <v>7</v>
      </c>
      <c r="F6" s="2">
        <v>3.5118845842842457</v>
      </c>
      <c r="H6" s="9">
        <v>700</v>
      </c>
      <c r="J6" s="1" t="s">
        <v>6</v>
      </c>
      <c r="K6" s="2">
        <v>589.65517241379314</v>
      </c>
      <c r="M6" s="9">
        <v>2</v>
      </c>
      <c r="O6" s="1" t="s">
        <v>7</v>
      </c>
      <c r="P6" s="2">
        <v>0.23329752248923608</v>
      </c>
    </row>
    <row r="7" spans="2:16" x14ac:dyDescent="0.3">
      <c r="B7" s="1" t="s">
        <v>24</v>
      </c>
      <c r="C7" s="2">
        <v>115</v>
      </c>
      <c r="E7" s="1" t="s">
        <v>8</v>
      </c>
      <c r="F7" s="2">
        <v>122.5</v>
      </c>
      <c r="H7" s="9">
        <v>400</v>
      </c>
      <c r="J7" s="1" t="s">
        <v>7</v>
      </c>
      <c r="K7" s="2">
        <v>20.964917673563207</v>
      </c>
      <c r="M7" s="9">
        <v>4</v>
      </c>
      <c r="O7" s="1" t="s">
        <v>8</v>
      </c>
      <c r="P7" s="2">
        <v>3</v>
      </c>
    </row>
    <row r="8" spans="2:16" x14ac:dyDescent="0.3">
      <c r="B8" s="1" t="s">
        <v>25</v>
      </c>
      <c r="C8" s="2">
        <v>125</v>
      </c>
      <c r="E8" s="1" t="s">
        <v>9</v>
      </c>
      <c r="F8" s="2">
        <v>115</v>
      </c>
      <c r="H8" s="9">
        <v>600</v>
      </c>
      <c r="J8" s="1" t="s">
        <v>8</v>
      </c>
      <c r="K8" s="2">
        <v>600</v>
      </c>
      <c r="M8" s="9">
        <v>6</v>
      </c>
      <c r="O8" s="1" t="s">
        <v>9</v>
      </c>
      <c r="P8" s="2">
        <v>2</v>
      </c>
    </row>
    <row r="9" spans="2:16" x14ac:dyDescent="0.3">
      <c r="B9" s="1" t="s">
        <v>26</v>
      </c>
      <c r="C9" s="2">
        <v>105</v>
      </c>
      <c r="E9" s="30" t="s">
        <v>10</v>
      </c>
      <c r="F9" s="33">
        <v>11.105554165971787</v>
      </c>
      <c r="H9" s="9">
        <v>550</v>
      </c>
      <c r="J9" s="1" t="s">
        <v>9</v>
      </c>
      <c r="K9" s="2">
        <v>550</v>
      </c>
      <c r="M9" s="9">
        <v>2</v>
      </c>
      <c r="O9" s="30" t="s">
        <v>10</v>
      </c>
      <c r="P9" s="33">
        <v>1.5475206932325936</v>
      </c>
    </row>
    <row r="10" spans="2:16" x14ac:dyDescent="0.3">
      <c r="B10" s="1" t="s">
        <v>27</v>
      </c>
      <c r="C10" s="2">
        <v>135</v>
      </c>
      <c r="E10" s="30" t="s">
        <v>11</v>
      </c>
      <c r="F10" s="33">
        <v>123.33333333333333</v>
      </c>
      <c r="H10" s="9">
        <v>750</v>
      </c>
      <c r="J10" s="30" t="s">
        <v>10</v>
      </c>
      <c r="K10" s="33">
        <v>112.89953684014476</v>
      </c>
      <c r="M10" s="9">
        <v>3</v>
      </c>
      <c r="O10" s="30" t="s">
        <v>11</v>
      </c>
      <c r="P10" s="33">
        <v>2.3948202959830871</v>
      </c>
    </row>
    <row r="11" spans="2:16" x14ac:dyDescent="0.3">
      <c r="B11" s="1" t="s">
        <v>28</v>
      </c>
      <c r="C11" s="2">
        <v>115</v>
      </c>
      <c r="E11" s="1" t="s">
        <v>12</v>
      </c>
      <c r="F11" s="2">
        <v>-0.79711468224981585</v>
      </c>
      <c r="H11" s="9">
        <v>650</v>
      </c>
      <c r="J11" s="30" t="s">
        <v>11</v>
      </c>
      <c r="K11" s="33">
        <v>12746.305418719205</v>
      </c>
      <c r="M11" s="9">
        <v>4</v>
      </c>
      <c r="O11" s="1" t="s">
        <v>12</v>
      </c>
      <c r="P11" s="2">
        <v>-0.49178683978576787</v>
      </c>
    </row>
    <row r="12" spans="2:16" x14ac:dyDescent="0.3">
      <c r="B12" s="1" t="s">
        <v>29</v>
      </c>
      <c r="C12" s="2">
        <v>125</v>
      </c>
      <c r="E12" s="1" t="s">
        <v>13</v>
      </c>
      <c r="F12" s="2">
        <v>0.12776660198250986</v>
      </c>
      <c r="H12" s="9">
        <v>500</v>
      </c>
      <c r="J12" s="1" t="s">
        <v>12</v>
      </c>
      <c r="K12" s="2">
        <v>-0.55614175240304098</v>
      </c>
      <c r="M12" s="9">
        <v>2</v>
      </c>
      <c r="O12" s="1" t="s">
        <v>13</v>
      </c>
      <c r="P12" s="2">
        <v>0.50769401398015546</v>
      </c>
    </row>
    <row r="13" spans="2:16" ht="15" thickBot="1" x14ac:dyDescent="0.35">
      <c r="B13" s="3" t="s">
        <v>30</v>
      </c>
      <c r="C13" s="4">
        <v>140</v>
      </c>
      <c r="E13" s="30" t="s">
        <v>14</v>
      </c>
      <c r="F13" s="33">
        <v>35</v>
      </c>
      <c r="H13" s="9">
        <v>600</v>
      </c>
      <c r="J13" s="1" t="s">
        <v>13</v>
      </c>
      <c r="K13" s="2">
        <v>0.13616578636102478</v>
      </c>
      <c r="M13" s="9">
        <v>5</v>
      </c>
      <c r="O13" s="30" t="s">
        <v>14</v>
      </c>
      <c r="P13" s="33">
        <v>6</v>
      </c>
    </row>
    <row r="14" spans="2:16" x14ac:dyDescent="0.3">
      <c r="B14" s="1"/>
      <c r="E14" s="1" t="s">
        <v>15</v>
      </c>
      <c r="F14" s="2">
        <v>105</v>
      </c>
      <c r="H14" s="9">
        <v>550</v>
      </c>
      <c r="J14" s="30" t="s">
        <v>14</v>
      </c>
      <c r="K14" s="33">
        <v>400</v>
      </c>
      <c r="M14" s="9">
        <v>7</v>
      </c>
      <c r="O14" s="1" t="s">
        <v>15</v>
      </c>
      <c r="P14" s="2">
        <v>1</v>
      </c>
    </row>
    <row r="15" spans="2:16" x14ac:dyDescent="0.3">
      <c r="B15" s="1"/>
      <c r="E15" s="1" t="s">
        <v>16</v>
      </c>
      <c r="F15" s="2">
        <v>140</v>
      </c>
      <c r="H15" s="9">
        <v>800</v>
      </c>
      <c r="J15" s="1" t="s">
        <v>15</v>
      </c>
      <c r="K15" s="2">
        <v>400</v>
      </c>
      <c r="M15" s="9">
        <v>2</v>
      </c>
      <c r="O15" s="1" t="s">
        <v>16</v>
      </c>
      <c r="P15" s="2">
        <v>7</v>
      </c>
    </row>
    <row r="16" spans="2:16" x14ac:dyDescent="0.3">
      <c r="B16" s="1"/>
      <c r="E16" s="1" t="s">
        <v>17</v>
      </c>
      <c r="F16" s="2">
        <v>1220</v>
      </c>
      <c r="H16" s="9">
        <v>450</v>
      </c>
      <c r="J16" s="1" t="s">
        <v>16</v>
      </c>
      <c r="K16" s="2">
        <v>800</v>
      </c>
      <c r="M16" s="9">
        <v>3</v>
      </c>
      <c r="O16" s="1" t="s">
        <v>17</v>
      </c>
      <c r="P16" s="2">
        <v>155</v>
      </c>
    </row>
    <row r="17" spans="2:16" ht="15" thickBot="1" x14ac:dyDescent="0.35">
      <c r="B17" s="3"/>
      <c r="C17" s="29"/>
      <c r="D17" s="29"/>
      <c r="E17" s="3" t="s">
        <v>18</v>
      </c>
      <c r="F17" s="4">
        <v>10</v>
      </c>
      <c r="H17" s="9">
        <v>700</v>
      </c>
      <c r="J17" s="1" t="s">
        <v>17</v>
      </c>
      <c r="K17" s="2">
        <v>17100</v>
      </c>
      <c r="M17" s="9">
        <v>2</v>
      </c>
      <c r="O17" s="3" t="s">
        <v>18</v>
      </c>
      <c r="P17" s="4">
        <v>44</v>
      </c>
    </row>
    <row r="18" spans="2:16" ht="15" thickBot="1" x14ac:dyDescent="0.35">
      <c r="H18" s="9">
        <v>550</v>
      </c>
      <c r="J18" s="3" t="s">
        <v>18</v>
      </c>
      <c r="K18" s="4">
        <v>29</v>
      </c>
      <c r="M18" s="9">
        <v>4</v>
      </c>
      <c r="P18" s="2"/>
    </row>
    <row r="19" spans="2:16" x14ac:dyDescent="0.3">
      <c r="H19" s="9">
        <v>600</v>
      </c>
      <c r="K19" s="2"/>
      <c r="M19" s="9">
        <v>2</v>
      </c>
      <c r="P19" s="2"/>
    </row>
    <row r="20" spans="2:16" x14ac:dyDescent="0.3">
      <c r="H20" s="9">
        <v>400</v>
      </c>
      <c r="K20" s="2"/>
      <c r="M20" s="9">
        <v>3</v>
      </c>
      <c r="P20" s="2"/>
    </row>
    <row r="21" spans="2:16" x14ac:dyDescent="0.3">
      <c r="H21" s="9">
        <v>650</v>
      </c>
      <c r="K21" s="2"/>
      <c r="M21" s="9">
        <v>5</v>
      </c>
      <c r="P21" s="2"/>
    </row>
    <row r="22" spans="2:16" x14ac:dyDescent="0.3">
      <c r="H22" s="9">
        <v>500</v>
      </c>
      <c r="K22" s="2"/>
      <c r="M22" s="9">
        <v>6</v>
      </c>
      <c r="P22" s="2"/>
    </row>
    <row r="23" spans="2:16" x14ac:dyDescent="0.3">
      <c r="H23" s="9">
        <v>750</v>
      </c>
      <c r="K23" s="2"/>
      <c r="M23" s="9">
        <v>3</v>
      </c>
      <c r="P23" s="2"/>
    </row>
    <row r="24" spans="2:16" x14ac:dyDescent="0.3">
      <c r="H24" s="9">
        <v>550</v>
      </c>
      <c r="K24" s="2"/>
      <c r="M24" s="9">
        <v>2</v>
      </c>
      <c r="P24" s="2"/>
    </row>
    <row r="25" spans="2:16" x14ac:dyDescent="0.3">
      <c r="H25" s="9">
        <v>700</v>
      </c>
      <c r="K25" s="2"/>
      <c r="M25" s="9">
        <v>1</v>
      </c>
      <c r="P25" s="2"/>
    </row>
    <row r="26" spans="2:16" x14ac:dyDescent="0.3">
      <c r="H26" s="9">
        <v>600</v>
      </c>
      <c r="K26" s="2"/>
      <c r="M26" s="9">
        <v>4</v>
      </c>
      <c r="P26" s="2"/>
    </row>
    <row r="27" spans="2:16" x14ac:dyDescent="0.3">
      <c r="H27" s="9">
        <v>500</v>
      </c>
      <c r="K27" s="2"/>
      <c r="M27" s="9">
        <v>2</v>
      </c>
      <c r="P27" s="2"/>
    </row>
    <row r="28" spans="2:16" x14ac:dyDescent="0.3">
      <c r="H28" s="9">
        <v>800</v>
      </c>
      <c r="K28" s="2"/>
      <c r="M28" s="9">
        <v>4</v>
      </c>
      <c r="P28" s="2"/>
    </row>
    <row r="29" spans="2:16" x14ac:dyDescent="0.3">
      <c r="H29" s="9">
        <v>550</v>
      </c>
      <c r="K29" s="2"/>
      <c r="M29" s="9">
        <v>5</v>
      </c>
      <c r="P29" s="2"/>
    </row>
    <row r="30" spans="2:16" x14ac:dyDescent="0.3">
      <c r="H30" s="9">
        <v>400</v>
      </c>
      <c r="K30" s="2"/>
      <c r="M30" s="9">
        <v>3</v>
      </c>
      <c r="P30" s="2"/>
    </row>
    <row r="31" spans="2:16" x14ac:dyDescent="0.3">
      <c r="H31" s="9">
        <v>650</v>
      </c>
      <c r="K31" s="2"/>
      <c r="M31" s="9">
        <v>2</v>
      </c>
      <c r="P31" s="2"/>
    </row>
    <row r="32" spans="2:16" x14ac:dyDescent="0.3">
      <c r="H32" s="9">
        <v>600</v>
      </c>
      <c r="K32" s="2"/>
      <c r="M32" s="9">
        <v>7</v>
      </c>
      <c r="P32" s="2"/>
    </row>
    <row r="33" spans="8:16" ht="15" thickBot="1" x14ac:dyDescent="0.35">
      <c r="H33" s="10">
        <v>550</v>
      </c>
      <c r="I33" s="29"/>
      <c r="J33" s="29"/>
      <c r="K33" s="4"/>
      <c r="M33" s="9">
        <v>2</v>
      </c>
      <c r="P33" s="2"/>
    </row>
    <row r="34" spans="8:16" x14ac:dyDescent="0.3">
      <c r="M34" s="9">
        <v>3</v>
      </c>
      <c r="P34" s="2"/>
    </row>
    <row r="35" spans="8:16" x14ac:dyDescent="0.3">
      <c r="M35" s="9">
        <v>5</v>
      </c>
      <c r="P35" s="2"/>
    </row>
    <row r="36" spans="8:16" x14ac:dyDescent="0.3">
      <c r="M36" s="9">
        <v>4</v>
      </c>
      <c r="P36" s="2"/>
    </row>
    <row r="37" spans="8:16" x14ac:dyDescent="0.3">
      <c r="M37" s="9">
        <v>1</v>
      </c>
      <c r="P37" s="2"/>
    </row>
    <row r="38" spans="8:16" x14ac:dyDescent="0.3">
      <c r="M38" s="9">
        <v>6</v>
      </c>
      <c r="P38" s="2"/>
    </row>
    <row r="39" spans="8:16" x14ac:dyDescent="0.3">
      <c r="M39" s="9">
        <v>2</v>
      </c>
      <c r="P39" s="2"/>
    </row>
    <row r="40" spans="8:16" x14ac:dyDescent="0.3">
      <c r="M40" s="9">
        <v>4</v>
      </c>
      <c r="P40" s="2"/>
    </row>
    <row r="41" spans="8:16" x14ac:dyDescent="0.3">
      <c r="M41" s="9">
        <v>3</v>
      </c>
      <c r="P41" s="2"/>
    </row>
    <row r="42" spans="8:16" x14ac:dyDescent="0.3">
      <c r="M42" s="9">
        <v>5</v>
      </c>
      <c r="P42" s="2"/>
    </row>
    <row r="43" spans="8:16" x14ac:dyDescent="0.3">
      <c r="M43" s="9">
        <v>3</v>
      </c>
      <c r="P43" s="2"/>
    </row>
    <row r="44" spans="8:16" x14ac:dyDescent="0.3">
      <c r="M44" s="9">
        <v>2</v>
      </c>
      <c r="P44" s="2"/>
    </row>
    <row r="45" spans="8:16" x14ac:dyDescent="0.3">
      <c r="M45" s="9">
        <v>4</v>
      </c>
      <c r="P45" s="2"/>
    </row>
    <row r="46" spans="8:16" x14ac:dyDescent="0.3">
      <c r="M46" s="9">
        <v>5</v>
      </c>
      <c r="P46" s="2"/>
    </row>
    <row r="47" spans="8:16" ht="15" thickBot="1" x14ac:dyDescent="0.35">
      <c r="M47" s="10">
        <v>3</v>
      </c>
      <c r="N47" s="29"/>
      <c r="O47" s="29"/>
      <c r="P47" s="4"/>
    </row>
  </sheetData>
  <mergeCells count="1">
    <mergeCell ref="H1:L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K22"/>
  <sheetViews>
    <sheetView workbookViewId="0">
      <selection activeCell="G21" sqref="G21"/>
    </sheetView>
  </sheetViews>
  <sheetFormatPr defaultRowHeight="14.4" x14ac:dyDescent="0.3"/>
  <cols>
    <col min="2" max="2" width="15.5546875" bestFit="1" customWidth="1"/>
    <col min="4" max="4" width="16.5546875" bestFit="1" customWidth="1"/>
  </cols>
  <sheetData>
    <row r="2" spans="2:11" ht="21" x14ac:dyDescent="0.4">
      <c r="G2" s="47" t="s">
        <v>44</v>
      </c>
      <c r="H2" s="47"/>
      <c r="I2" s="47"/>
      <c r="J2" s="47"/>
      <c r="K2" s="45"/>
    </row>
    <row r="3" spans="2:11" ht="18.600000000000001" thickBot="1" x14ac:dyDescent="0.4">
      <c r="G3" s="47" t="s">
        <v>43</v>
      </c>
      <c r="H3" s="47"/>
      <c r="I3" s="47"/>
      <c r="J3" s="47"/>
    </row>
    <row r="4" spans="2:11" ht="18.600000000000001" thickBot="1" x14ac:dyDescent="0.4">
      <c r="B4" s="36" t="s">
        <v>47</v>
      </c>
      <c r="C4" s="27"/>
      <c r="D4" s="27"/>
      <c r="E4" s="28"/>
      <c r="G4" s="46"/>
      <c r="H4" s="46"/>
      <c r="I4" s="46"/>
      <c r="J4" s="46"/>
    </row>
    <row r="5" spans="2:11" x14ac:dyDescent="0.3">
      <c r="B5" s="42" t="s">
        <v>42</v>
      </c>
      <c r="D5" s="43" t="s">
        <v>42</v>
      </c>
      <c r="E5" s="44"/>
    </row>
    <row r="6" spans="2:11" x14ac:dyDescent="0.3">
      <c r="B6" s="9">
        <v>120</v>
      </c>
      <c r="D6" s="1"/>
      <c r="E6" s="2"/>
    </row>
    <row r="7" spans="2:11" x14ac:dyDescent="0.3">
      <c r="B7" s="9">
        <v>150</v>
      </c>
      <c r="D7" s="30" t="s">
        <v>6</v>
      </c>
      <c r="E7" s="33">
        <v>132.5</v>
      </c>
    </row>
    <row r="8" spans="2:11" x14ac:dyDescent="0.3">
      <c r="B8" s="9">
        <v>110</v>
      </c>
      <c r="D8" s="1" t="s">
        <v>7</v>
      </c>
      <c r="E8" s="2">
        <v>3.9648073054937956</v>
      </c>
    </row>
    <row r="9" spans="2:11" x14ac:dyDescent="0.3">
      <c r="B9" s="9">
        <v>135</v>
      </c>
      <c r="D9" s="1" t="s">
        <v>8</v>
      </c>
      <c r="E9" s="2">
        <v>132.5</v>
      </c>
    </row>
    <row r="10" spans="2:11" x14ac:dyDescent="0.3">
      <c r="B10" s="9">
        <v>125</v>
      </c>
      <c r="D10" s="1" t="s">
        <v>9</v>
      </c>
      <c r="E10" s="2">
        <v>135</v>
      </c>
    </row>
    <row r="11" spans="2:11" x14ac:dyDescent="0.3">
      <c r="B11" s="9">
        <v>140</v>
      </c>
      <c r="D11" s="1" t="s">
        <v>10</v>
      </c>
      <c r="E11" s="2">
        <v>13.734495390671025</v>
      </c>
    </row>
    <row r="12" spans="2:11" x14ac:dyDescent="0.3">
      <c r="B12" s="9">
        <v>130</v>
      </c>
      <c r="D12" s="1" t="s">
        <v>11</v>
      </c>
      <c r="E12" s="2">
        <v>188.63636363636363</v>
      </c>
    </row>
    <row r="13" spans="2:11" x14ac:dyDescent="0.3">
      <c r="B13" s="9">
        <v>155</v>
      </c>
      <c r="D13" s="1" t="s">
        <v>12</v>
      </c>
      <c r="E13" s="2">
        <v>-0.68787922775439059</v>
      </c>
    </row>
    <row r="14" spans="2:11" x14ac:dyDescent="0.3">
      <c r="B14" s="9">
        <v>115</v>
      </c>
      <c r="D14" s="1" t="s">
        <v>13</v>
      </c>
      <c r="E14" s="2">
        <v>2.4223047810003414E-17</v>
      </c>
    </row>
    <row r="15" spans="2:11" x14ac:dyDescent="0.3">
      <c r="B15" s="9">
        <v>145</v>
      </c>
      <c r="D15" s="30" t="s">
        <v>14</v>
      </c>
      <c r="E15" s="33">
        <v>45</v>
      </c>
    </row>
    <row r="16" spans="2:11" x14ac:dyDescent="0.3">
      <c r="B16" s="9">
        <v>135</v>
      </c>
      <c r="D16" s="1" t="s">
        <v>15</v>
      </c>
      <c r="E16" s="2">
        <v>110</v>
      </c>
    </row>
    <row r="17" spans="2:5" ht="15" thickBot="1" x14ac:dyDescent="0.35">
      <c r="B17" s="10">
        <v>130</v>
      </c>
      <c r="D17" s="1" t="s">
        <v>16</v>
      </c>
      <c r="E17" s="2">
        <v>155</v>
      </c>
    </row>
    <row r="18" spans="2:5" x14ac:dyDescent="0.3">
      <c r="B18" s="1"/>
      <c r="D18" s="1" t="s">
        <v>17</v>
      </c>
      <c r="E18" s="2">
        <v>1590</v>
      </c>
    </row>
    <row r="19" spans="2:5" ht="15" thickBot="1" x14ac:dyDescent="0.35">
      <c r="B19" s="3"/>
      <c r="C19" s="29"/>
      <c r="D19" s="3" t="s">
        <v>18</v>
      </c>
      <c r="E19" s="4">
        <v>12</v>
      </c>
    </row>
    <row r="20" spans="2:5" ht="15" thickBot="1" x14ac:dyDescent="0.35">
      <c r="B20" s="1"/>
      <c r="E20" s="2"/>
    </row>
    <row r="21" spans="2:5" x14ac:dyDescent="0.3">
      <c r="B21" s="31" t="s">
        <v>45</v>
      </c>
      <c r="C21" s="48"/>
      <c r="D21" s="32">
        <v>45</v>
      </c>
      <c r="E21" s="2"/>
    </row>
    <row r="22" spans="2:5" ht="15" thickBot="1" x14ac:dyDescent="0.35">
      <c r="B22" s="34" t="s">
        <v>46</v>
      </c>
      <c r="C22" s="49"/>
      <c r="D22" s="35">
        <v>132.5</v>
      </c>
      <c r="E22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H37"/>
  <sheetViews>
    <sheetView topLeftCell="A55" workbookViewId="0">
      <selection activeCell="G1" sqref="G1:H1"/>
    </sheetView>
  </sheetViews>
  <sheetFormatPr defaultRowHeight="14.4" x14ac:dyDescent="0.3"/>
  <cols>
    <col min="4" max="4" width="23.77734375" bestFit="1" customWidth="1"/>
  </cols>
  <sheetData>
    <row r="1" spans="2:8" ht="18.600000000000001" thickBot="1" x14ac:dyDescent="0.4">
      <c r="G1" s="137" t="s">
        <v>51</v>
      </c>
      <c r="H1" s="137"/>
    </row>
    <row r="2" spans="2:8" ht="15" thickBot="1" x14ac:dyDescent="0.35">
      <c r="B2" s="26"/>
      <c r="C2" s="27"/>
      <c r="D2" s="27"/>
      <c r="E2" s="28"/>
    </row>
    <row r="3" spans="2:8" x14ac:dyDescent="0.3">
      <c r="B3" s="42" t="s">
        <v>48</v>
      </c>
      <c r="D3" s="43" t="s">
        <v>48</v>
      </c>
      <c r="E3" s="44"/>
    </row>
    <row r="4" spans="2:8" x14ac:dyDescent="0.3">
      <c r="B4" s="9">
        <v>8</v>
      </c>
      <c r="D4" s="1"/>
      <c r="E4" s="2"/>
    </row>
    <row r="5" spans="2:8" x14ac:dyDescent="0.3">
      <c r="B5" s="9">
        <v>7</v>
      </c>
      <c r="D5" s="50" t="s">
        <v>6</v>
      </c>
      <c r="E5" s="51">
        <v>7.5</v>
      </c>
    </row>
    <row r="6" spans="2:8" x14ac:dyDescent="0.3">
      <c r="B6" s="9">
        <v>9</v>
      </c>
      <c r="D6" s="1" t="s">
        <v>7</v>
      </c>
      <c r="E6" s="2">
        <v>0.18036406043305903</v>
      </c>
    </row>
    <row r="7" spans="2:8" x14ac:dyDescent="0.3">
      <c r="B7" s="9">
        <v>6</v>
      </c>
      <c r="D7" s="1" t="s">
        <v>8</v>
      </c>
      <c r="E7" s="2">
        <v>7.5</v>
      </c>
    </row>
    <row r="8" spans="2:8" x14ac:dyDescent="0.3">
      <c r="B8" s="9">
        <v>7</v>
      </c>
      <c r="D8" s="1" t="s">
        <v>9</v>
      </c>
      <c r="E8" s="2">
        <v>8</v>
      </c>
    </row>
    <row r="9" spans="2:8" x14ac:dyDescent="0.3">
      <c r="B9" s="9">
        <v>8</v>
      </c>
      <c r="D9" s="50" t="s">
        <v>10</v>
      </c>
      <c r="E9" s="51">
        <v>1.0516941599441378</v>
      </c>
    </row>
    <row r="10" spans="2:8" x14ac:dyDescent="0.3">
      <c r="B10" s="9">
        <v>9</v>
      </c>
      <c r="D10" s="1" t="s">
        <v>11</v>
      </c>
      <c r="E10" s="2">
        <v>1.106060606060606</v>
      </c>
    </row>
    <row r="11" spans="2:8" x14ac:dyDescent="0.3">
      <c r="B11" s="9">
        <v>8</v>
      </c>
      <c r="D11" s="1" t="s">
        <v>12</v>
      </c>
      <c r="E11" s="2">
        <v>-1.1502127736850696</v>
      </c>
    </row>
    <row r="12" spans="2:8" x14ac:dyDescent="0.3">
      <c r="B12" s="9">
        <v>7</v>
      </c>
      <c r="D12" s="1" t="s">
        <v>13</v>
      </c>
      <c r="E12" s="2">
        <v>0</v>
      </c>
    </row>
    <row r="13" spans="2:8" x14ac:dyDescent="0.3">
      <c r="B13" s="9">
        <v>6</v>
      </c>
      <c r="D13" s="50" t="s">
        <v>14</v>
      </c>
      <c r="E13" s="51">
        <v>3</v>
      </c>
    </row>
    <row r="14" spans="2:8" x14ac:dyDescent="0.3">
      <c r="B14" s="9">
        <v>8</v>
      </c>
      <c r="D14" s="1" t="s">
        <v>15</v>
      </c>
      <c r="E14" s="2">
        <v>6</v>
      </c>
    </row>
    <row r="15" spans="2:8" x14ac:dyDescent="0.3">
      <c r="B15" s="9">
        <v>9</v>
      </c>
      <c r="D15" s="1" t="s">
        <v>16</v>
      </c>
      <c r="E15" s="2">
        <v>9</v>
      </c>
    </row>
    <row r="16" spans="2:8" x14ac:dyDescent="0.3">
      <c r="B16" s="9">
        <v>7</v>
      </c>
      <c r="D16" s="1" t="s">
        <v>17</v>
      </c>
      <c r="E16" s="2">
        <v>255</v>
      </c>
    </row>
    <row r="17" spans="2:5" ht="15" thickBot="1" x14ac:dyDescent="0.35">
      <c r="B17" s="9">
        <v>8</v>
      </c>
      <c r="D17" s="3" t="s">
        <v>18</v>
      </c>
      <c r="E17" s="4">
        <v>34</v>
      </c>
    </row>
    <row r="18" spans="2:5" x14ac:dyDescent="0.3">
      <c r="B18" s="9">
        <v>7</v>
      </c>
      <c r="E18" s="2"/>
    </row>
    <row r="19" spans="2:5" ht="15" thickBot="1" x14ac:dyDescent="0.35">
      <c r="B19" s="9">
        <v>6</v>
      </c>
      <c r="E19" s="2"/>
    </row>
    <row r="20" spans="2:5" x14ac:dyDescent="0.3">
      <c r="B20" s="9">
        <v>8</v>
      </c>
      <c r="D20" s="52" t="s">
        <v>49</v>
      </c>
      <c r="E20" s="53">
        <v>7.5</v>
      </c>
    </row>
    <row r="21" spans="2:5" ht="15" thickBot="1" x14ac:dyDescent="0.35">
      <c r="B21" s="9">
        <v>9</v>
      </c>
      <c r="D21" s="54" t="s">
        <v>50</v>
      </c>
      <c r="E21" s="55">
        <v>1.0516939999999999</v>
      </c>
    </row>
    <row r="22" spans="2:5" x14ac:dyDescent="0.3">
      <c r="B22" s="9">
        <v>6</v>
      </c>
      <c r="E22" s="2"/>
    </row>
    <row r="23" spans="2:5" x14ac:dyDescent="0.3">
      <c r="B23" s="9">
        <v>7</v>
      </c>
      <c r="E23" s="2"/>
    </row>
    <row r="24" spans="2:5" x14ac:dyDescent="0.3">
      <c r="B24" s="9">
        <v>8</v>
      </c>
      <c r="E24" s="2"/>
    </row>
    <row r="25" spans="2:5" x14ac:dyDescent="0.3">
      <c r="B25" s="9">
        <v>9</v>
      </c>
      <c r="E25" s="2"/>
    </row>
    <row r="26" spans="2:5" x14ac:dyDescent="0.3">
      <c r="B26" s="9">
        <v>7</v>
      </c>
      <c r="E26" s="2"/>
    </row>
    <row r="27" spans="2:5" x14ac:dyDescent="0.3">
      <c r="B27" s="9">
        <v>6</v>
      </c>
      <c r="E27" s="2"/>
    </row>
    <row r="28" spans="2:5" x14ac:dyDescent="0.3">
      <c r="B28" s="9">
        <v>9</v>
      </c>
      <c r="E28" s="2"/>
    </row>
    <row r="29" spans="2:5" x14ac:dyDescent="0.3">
      <c r="B29" s="9">
        <v>8</v>
      </c>
      <c r="E29" s="2"/>
    </row>
    <row r="30" spans="2:5" x14ac:dyDescent="0.3">
      <c r="B30" s="9">
        <v>7</v>
      </c>
      <c r="E30" s="2"/>
    </row>
    <row r="31" spans="2:5" x14ac:dyDescent="0.3">
      <c r="B31" s="9">
        <v>6</v>
      </c>
      <c r="E31" s="2"/>
    </row>
    <row r="32" spans="2:5" x14ac:dyDescent="0.3">
      <c r="B32" s="9">
        <v>7</v>
      </c>
      <c r="E32" s="2"/>
    </row>
    <row r="33" spans="2:5" x14ac:dyDescent="0.3">
      <c r="B33" s="9">
        <v>8</v>
      </c>
      <c r="E33" s="2"/>
    </row>
    <row r="34" spans="2:5" x14ac:dyDescent="0.3">
      <c r="B34" s="9">
        <v>9</v>
      </c>
      <c r="E34" s="2"/>
    </row>
    <row r="35" spans="2:5" x14ac:dyDescent="0.3">
      <c r="B35" s="9">
        <v>8</v>
      </c>
      <c r="E35" s="2"/>
    </row>
    <row r="36" spans="2:5" x14ac:dyDescent="0.3">
      <c r="B36" s="9">
        <v>7</v>
      </c>
      <c r="E36" s="2"/>
    </row>
    <row r="37" spans="2:5" ht="15" thickBot="1" x14ac:dyDescent="0.35">
      <c r="B37" s="10">
        <v>6</v>
      </c>
      <c r="C37" s="29"/>
      <c r="D37" s="29"/>
      <c r="E37" s="4"/>
    </row>
  </sheetData>
  <mergeCells count="1"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ques)1</vt:lpstr>
      <vt:lpstr>ques)6</vt:lpstr>
      <vt:lpstr>ques)7</vt:lpstr>
      <vt:lpstr>ques)8</vt:lpstr>
      <vt:lpstr>ques)10</vt:lpstr>
      <vt:lpstr>ques)11</vt:lpstr>
      <vt:lpstr>ques)12</vt:lpstr>
      <vt:lpstr>ques)13</vt:lpstr>
      <vt:lpstr>ques)14</vt:lpstr>
      <vt:lpstr>ques)15</vt:lpstr>
      <vt:lpstr>ques)16</vt:lpstr>
      <vt:lpstr>ques)17</vt:lpstr>
      <vt:lpstr>ques)18</vt:lpstr>
      <vt:lpstr>ques)9</vt:lpstr>
      <vt:lpstr>ques)19</vt:lpstr>
      <vt:lpstr>ques)20</vt:lpstr>
      <vt:lpstr>Ques)21</vt:lpstr>
      <vt:lpstr>QUES)22</vt:lpstr>
      <vt:lpstr>ques)2</vt:lpstr>
      <vt:lpstr>ques)4</vt:lpstr>
      <vt:lpstr>ques)5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singh</dc:creator>
  <cp:lastModifiedBy>priya singh</cp:lastModifiedBy>
  <dcterms:created xsi:type="dcterms:W3CDTF">2023-10-25T06:54:17Z</dcterms:created>
  <dcterms:modified xsi:type="dcterms:W3CDTF">2023-11-29T08:02:24Z</dcterms:modified>
</cp:coreProperties>
</file>